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4040A67A-FD5A-4123-A6DD-D80D9DA1F499}" xr6:coauthVersionLast="47" xr6:coauthVersionMax="47" xr10:uidLastSave="{00000000-0000-0000-0000-000000000000}"/>
  <bookViews>
    <workbookView xWindow="-103" yWindow="-103" windowWidth="24892" windowHeight="14914" activeTab="3" xr2:uid="{00000000-000D-0000-FFFF-FFFF00000000}"/>
  </bookViews>
  <sheets>
    <sheet name="Assignment 1" sheetId="1" r:id="rId1"/>
    <sheet name="Assignment 2" sheetId="2" r:id="rId2"/>
    <sheet name="Assignment 3" sheetId="3" r:id="rId3"/>
    <sheet name="Assignment 4" sheetId="4" r:id="rId4"/>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D279" i="4" l="1"/>
  <c r="E267" i="4"/>
  <c r="E268" i="4" s="1"/>
  <c r="G194" i="4" s="1"/>
  <c r="I194" i="4" s="1"/>
  <c r="D267" i="4"/>
  <c r="D268" i="4" s="1"/>
  <c r="F239" i="4" s="1"/>
  <c r="F231" i="4"/>
  <c r="G230" i="4"/>
  <c r="I230" i="4" s="1"/>
  <c r="F229" i="4"/>
  <c r="H229" i="4" s="1"/>
  <c r="G222" i="4"/>
  <c r="I222" i="4" s="1"/>
  <c r="G220" i="4"/>
  <c r="I220" i="4" s="1"/>
  <c r="F215" i="4"/>
  <c r="G214" i="4"/>
  <c r="I214" i="4" s="1"/>
  <c r="G208" i="4"/>
  <c r="I208" i="4" s="1"/>
  <c r="F205" i="4"/>
  <c r="H205" i="4" s="1"/>
  <c r="G202" i="4"/>
  <c r="I202" i="4" s="1"/>
  <c r="F196" i="4"/>
  <c r="H196" i="4" s="1"/>
  <c r="G192" i="4"/>
  <c r="I192" i="4" s="1"/>
  <c r="G190" i="4"/>
  <c r="I190" i="4" s="1"/>
  <c r="F190" i="4"/>
  <c r="H190" i="4" s="1"/>
  <c r="G186" i="4"/>
  <c r="I186" i="4" s="1"/>
  <c r="F186" i="4"/>
  <c r="H186" i="4" s="1"/>
  <c r="G180" i="4"/>
  <c r="I180" i="4" s="1"/>
  <c r="G179" i="4"/>
  <c r="I179" i="4" s="1"/>
  <c r="F179" i="4"/>
  <c r="H179" i="4" s="1"/>
  <c r="F178" i="4"/>
  <c r="H178" i="4" s="1"/>
  <c r="G175" i="4"/>
  <c r="I175" i="4" s="1"/>
  <c r="G174" i="4"/>
  <c r="I174" i="4" s="1"/>
  <c r="G172" i="4"/>
  <c r="I172" i="4" s="1"/>
  <c r="F172" i="4"/>
  <c r="J172" i="4" s="1"/>
  <c r="G171" i="4"/>
  <c r="I171" i="4" s="1"/>
  <c r="G170" i="4"/>
  <c r="I170" i="4" s="1"/>
  <c r="G169" i="4"/>
  <c r="I169" i="4" s="1"/>
  <c r="F168" i="4"/>
  <c r="F166" i="4"/>
  <c r="H166" i="4" s="1"/>
  <c r="G165" i="4"/>
  <c r="I165" i="4" s="1"/>
  <c r="F165" i="4"/>
  <c r="J165" i="4" s="1"/>
  <c r="G163" i="4"/>
  <c r="I163" i="4" s="1"/>
  <c r="G161" i="4"/>
  <c r="I161" i="4" s="1"/>
  <c r="F161" i="4"/>
  <c r="H161" i="4" s="1"/>
  <c r="G160" i="4"/>
  <c r="I160" i="4" s="1"/>
  <c r="F160" i="4"/>
  <c r="G158" i="4"/>
  <c r="I158" i="4" s="1"/>
  <c r="F158" i="4"/>
  <c r="H158" i="4" s="1"/>
  <c r="F157" i="4"/>
  <c r="H157" i="4" s="1"/>
  <c r="G156" i="4"/>
  <c r="I156" i="4" s="1"/>
  <c r="F156" i="4"/>
  <c r="G155" i="4"/>
  <c r="I155" i="4" s="1"/>
  <c r="F155" i="4"/>
  <c r="H155" i="4" s="1"/>
  <c r="G153" i="4"/>
  <c r="I153" i="4" s="1"/>
  <c r="G151" i="4"/>
  <c r="I151" i="4" s="1"/>
  <c r="G150" i="4"/>
  <c r="I150" i="4" s="1"/>
  <c r="G149" i="4"/>
  <c r="I149" i="4" s="1"/>
  <c r="F149" i="4"/>
  <c r="H149" i="4" s="1"/>
  <c r="G148" i="4"/>
  <c r="I148" i="4" s="1"/>
  <c r="F148" i="4"/>
  <c r="H148" i="4" s="1"/>
  <c r="G147" i="4"/>
  <c r="F147" i="4"/>
  <c r="H147" i="4" s="1"/>
  <c r="G146" i="4"/>
  <c r="I146" i="4" s="1"/>
  <c r="F146" i="4"/>
  <c r="H146" i="4" s="1"/>
  <c r="G145" i="4"/>
  <c r="I145" i="4" s="1"/>
  <c r="G143" i="4"/>
  <c r="G141" i="4"/>
  <c r="I141" i="4" s="1"/>
  <c r="F141" i="4"/>
  <c r="G140" i="4"/>
  <c r="I140" i="4" s="1"/>
  <c r="F140" i="4"/>
  <c r="H140" i="4" s="1"/>
  <c r="G139" i="4"/>
  <c r="I139" i="4" s="1"/>
  <c r="F139" i="4"/>
  <c r="H139" i="4" s="1"/>
  <c r="G138" i="4"/>
  <c r="I138" i="4" s="1"/>
  <c r="F138" i="4"/>
  <c r="H138" i="4" s="1"/>
  <c r="G137" i="4"/>
  <c r="I137" i="4" s="1"/>
  <c r="F137" i="4"/>
  <c r="J137" i="4" s="1"/>
  <c r="G136" i="4"/>
  <c r="I136" i="4" s="1"/>
  <c r="G134" i="4"/>
  <c r="I134" i="4" s="1"/>
  <c r="F134" i="4"/>
  <c r="G132" i="4"/>
  <c r="I132" i="4" s="1"/>
  <c r="F132" i="4"/>
  <c r="H132" i="4" s="1"/>
  <c r="G131" i="4"/>
  <c r="I131" i="4" s="1"/>
  <c r="F131" i="4"/>
  <c r="H131" i="4" s="1"/>
  <c r="G130" i="4"/>
  <c r="I130" i="4" s="1"/>
  <c r="F130" i="4"/>
  <c r="G129" i="4"/>
  <c r="I129" i="4" s="1"/>
  <c r="F129" i="4"/>
  <c r="H129" i="4" s="1"/>
  <c r="G128" i="4"/>
  <c r="I128" i="4" s="1"/>
  <c r="G127" i="4"/>
  <c r="I127" i="4" s="1"/>
  <c r="G126" i="4"/>
  <c r="I126" i="4" s="1"/>
  <c r="G125" i="4"/>
  <c r="I125" i="4" s="1"/>
  <c r="F125" i="4"/>
  <c r="H125" i="4" s="1"/>
  <c r="G123" i="4"/>
  <c r="I123" i="4" s="1"/>
  <c r="F123" i="4"/>
  <c r="G122" i="4"/>
  <c r="I122" i="4" s="1"/>
  <c r="F122" i="4"/>
  <c r="G121" i="4"/>
  <c r="I121" i="4" s="1"/>
  <c r="F121" i="4"/>
  <c r="H121" i="4" s="1"/>
  <c r="G120" i="4"/>
  <c r="I120" i="4" s="1"/>
  <c r="F120" i="4"/>
  <c r="H120" i="4" s="1"/>
  <c r="G119" i="4"/>
  <c r="I119" i="4" s="1"/>
  <c r="G118" i="4"/>
  <c r="I118" i="4" s="1"/>
  <c r="F118" i="4"/>
  <c r="G116" i="4"/>
  <c r="I116" i="4" s="1"/>
  <c r="G114" i="4"/>
  <c r="I114" i="4" s="1"/>
  <c r="F114" i="4"/>
  <c r="J114" i="4" s="1"/>
  <c r="G113" i="4"/>
  <c r="I113" i="4" s="1"/>
  <c r="F113" i="4"/>
  <c r="H113" i="4" s="1"/>
  <c r="G112" i="4"/>
  <c r="I112" i="4" s="1"/>
  <c r="F112" i="4"/>
  <c r="H112" i="4" s="1"/>
  <c r="G111" i="4"/>
  <c r="I111" i="4" s="1"/>
  <c r="G110" i="4"/>
  <c r="I110" i="4" s="1"/>
  <c r="F110" i="4"/>
  <c r="G109" i="4"/>
  <c r="I109" i="4" s="1"/>
  <c r="G108" i="4"/>
  <c r="I108" i="4" s="1"/>
  <c r="F108" i="4"/>
  <c r="H108" i="4" s="1"/>
  <c r="G106" i="4"/>
  <c r="I106" i="4" s="1"/>
  <c r="F106" i="4"/>
  <c r="G105" i="4"/>
  <c r="I105" i="4" s="1"/>
  <c r="F105" i="4"/>
  <c r="H105" i="4" s="1"/>
  <c r="G104" i="4"/>
  <c r="I104" i="4" s="1"/>
  <c r="F104" i="4"/>
  <c r="H104" i="4" s="1"/>
  <c r="G103" i="4"/>
  <c r="I103" i="4" s="1"/>
  <c r="G102" i="4"/>
  <c r="I102" i="4" s="1"/>
  <c r="F102" i="4"/>
  <c r="G101" i="4"/>
  <c r="I101" i="4" s="1"/>
  <c r="F101" i="4"/>
  <c r="H101" i="4" s="1"/>
  <c r="G99" i="4"/>
  <c r="I99" i="4" s="1"/>
  <c r="G97" i="4"/>
  <c r="I97" i="4" s="1"/>
  <c r="F97" i="4"/>
  <c r="H97" i="4" s="1"/>
  <c r="G96" i="4"/>
  <c r="I96" i="4" s="1"/>
  <c r="F96" i="4"/>
  <c r="H96" i="4" s="1"/>
  <c r="G95" i="4"/>
  <c r="I95" i="4" s="1"/>
  <c r="G94" i="4"/>
  <c r="I94" i="4" s="1"/>
  <c r="F94" i="4"/>
  <c r="G93" i="4"/>
  <c r="I93" i="4" s="1"/>
  <c r="F93" i="4"/>
  <c r="H93" i="4" s="1"/>
  <c r="G92" i="4"/>
  <c r="I92" i="4" s="1"/>
  <c r="G91" i="4"/>
  <c r="I91" i="4" s="1"/>
  <c r="F91" i="4"/>
  <c r="G89" i="4"/>
  <c r="I89" i="4" s="1"/>
  <c r="F89" i="4"/>
  <c r="H89" i="4" s="1"/>
  <c r="G88" i="4"/>
  <c r="I88" i="4" s="1"/>
  <c r="F88" i="4"/>
  <c r="H88" i="4" s="1"/>
  <c r="G87" i="4"/>
  <c r="I87" i="4" s="1"/>
  <c r="G86" i="4"/>
  <c r="I86" i="4" s="1"/>
  <c r="F86" i="4"/>
  <c r="G85" i="4"/>
  <c r="I85" i="4" s="1"/>
  <c r="F85" i="4"/>
  <c r="H85" i="4" s="1"/>
  <c r="G84" i="4"/>
  <c r="I84" i="4" s="1"/>
  <c r="F84" i="4"/>
  <c r="H84" i="4" s="1"/>
  <c r="G82" i="4"/>
  <c r="I82" i="4" s="1"/>
  <c r="G80" i="4"/>
  <c r="I80" i="4" s="1"/>
  <c r="F80" i="4"/>
  <c r="H80" i="4" s="1"/>
  <c r="G79" i="4"/>
  <c r="I79" i="4" s="1"/>
  <c r="G78" i="4"/>
  <c r="I78" i="4" s="1"/>
  <c r="F78" i="4"/>
  <c r="G77" i="4"/>
  <c r="I77" i="4" s="1"/>
  <c r="F77" i="4"/>
  <c r="H77" i="4" s="1"/>
  <c r="G76" i="4"/>
  <c r="I76" i="4" s="1"/>
  <c r="F76" i="4"/>
  <c r="H76" i="4" s="1"/>
  <c r="G75" i="4"/>
  <c r="I75" i="4" s="1"/>
  <c r="G74" i="4"/>
  <c r="I74" i="4" s="1"/>
  <c r="F74" i="4"/>
  <c r="J74" i="4" s="1"/>
  <c r="G72" i="4"/>
  <c r="I72" i="4" s="1"/>
  <c r="F72" i="4"/>
  <c r="H72" i="4" s="1"/>
  <c r="G71" i="4"/>
  <c r="I71" i="4" s="1"/>
  <c r="G70" i="4"/>
  <c r="I70" i="4" s="1"/>
  <c r="F70" i="4"/>
  <c r="G69" i="4"/>
  <c r="I69" i="4" s="1"/>
  <c r="F69" i="4"/>
  <c r="H69" i="4" s="1"/>
  <c r="G68" i="4"/>
  <c r="I68" i="4" s="1"/>
  <c r="F68" i="4"/>
  <c r="H68" i="4" s="1"/>
  <c r="G67" i="4"/>
  <c r="I67" i="4" s="1"/>
  <c r="F67" i="4"/>
  <c r="H67" i="4" s="1"/>
  <c r="G65" i="4"/>
  <c r="I65" i="4" s="1"/>
  <c r="G64" i="4"/>
  <c r="I64" i="4" s="1"/>
  <c r="G63" i="4"/>
  <c r="I63" i="4" s="1"/>
  <c r="G62" i="4"/>
  <c r="I62" i="4" s="1"/>
  <c r="F62" i="4"/>
  <c r="G61" i="4"/>
  <c r="F61" i="4"/>
  <c r="H61" i="4" s="1"/>
  <c r="G60" i="4"/>
  <c r="I60" i="4" s="1"/>
  <c r="F60" i="4"/>
  <c r="H60" i="4" s="1"/>
  <c r="G59" i="4"/>
  <c r="I59" i="4" s="1"/>
  <c r="F59" i="4"/>
  <c r="H59" i="4" s="1"/>
  <c r="G58" i="4"/>
  <c r="I58" i="4" s="1"/>
  <c r="G57" i="4"/>
  <c r="I57" i="4" s="1"/>
  <c r="F57" i="4"/>
  <c r="H57" i="4" s="1"/>
  <c r="G55" i="4"/>
  <c r="I55" i="4" s="1"/>
  <c r="G54" i="4"/>
  <c r="I54" i="4" s="1"/>
  <c r="F54" i="4"/>
  <c r="G53" i="4"/>
  <c r="I53" i="4" s="1"/>
  <c r="F53" i="4"/>
  <c r="H53" i="4" s="1"/>
  <c r="G52" i="4"/>
  <c r="I52" i="4" s="1"/>
  <c r="F52" i="4"/>
  <c r="H52" i="4" s="1"/>
  <c r="G51" i="4"/>
  <c r="I51" i="4" s="1"/>
  <c r="F51" i="4"/>
  <c r="H51" i="4" s="1"/>
  <c r="G50" i="4"/>
  <c r="I50" i="4" s="1"/>
  <c r="F50" i="4"/>
  <c r="J50" i="4" s="1"/>
  <c r="G48" i="4"/>
  <c r="I48" i="4" s="1"/>
  <c r="G47" i="4"/>
  <c r="I47" i="4" s="1"/>
  <c r="G46" i="4"/>
  <c r="I46" i="4" s="1"/>
  <c r="F46" i="4"/>
  <c r="H46" i="4" s="1"/>
  <c r="G45" i="4"/>
  <c r="I45" i="4" s="1"/>
  <c r="F45" i="4"/>
  <c r="H45" i="4" s="1"/>
  <c r="G44" i="4"/>
  <c r="I44" i="4" s="1"/>
  <c r="F44" i="4"/>
  <c r="H44" i="4" s="1"/>
  <c r="G43" i="4"/>
  <c r="I43" i="4" s="1"/>
  <c r="F43" i="4"/>
  <c r="H43" i="4" s="1"/>
  <c r="G42" i="4"/>
  <c r="I42" i="4" s="1"/>
  <c r="F42" i="4"/>
  <c r="G41" i="4"/>
  <c r="I41" i="4" s="1"/>
  <c r="G40" i="4"/>
  <c r="I40" i="4" s="1"/>
  <c r="F40" i="4"/>
  <c r="H40" i="4" s="1"/>
  <c r="G38" i="4"/>
  <c r="I38" i="4" s="1"/>
  <c r="G37" i="4"/>
  <c r="I37" i="4" s="1"/>
  <c r="F37" i="4"/>
  <c r="H37" i="4" s="1"/>
  <c r="G36" i="4"/>
  <c r="I36" i="4" s="1"/>
  <c r="F36" i="4"/>
  <c r="H36" i="4" s="1"/>
  <c r="G35" i="4"/>
  <c r="I35" i="4" s="1"/>
  <c r="F35" i="4"/>
  <c r="H35" i="4" s="1"/>
  <c r="G34" i="4"/>
  <c r="I34" i="4" s="1"/>
  <c r="F34" i="4"/>
  <c r="H34" i="4" s="1"/>
  <c r="G33" i="4"/>
  <c r="I33" i="4" s="1"/>
  <c r="F33" i="4"/>
  <c r="H33" i="4" s="1"/>
  <c r="G31" i="4"/>
  <c r="I31" i="4" s="1"/>
  <c r="G29" i="4"/>
  <c r="I29" i="4" s="1"/>
  <c r="F29" i="4"/>
  <c r="H29" i="4" s="1"/>
  <c r="G28" i="4"/>
  <c r="I28" i="4" s="1"/>
  <c r="F28" i="4"/>
  <c r="G27" i="4"/>
  <c r="I27" i="4" s="1"/>
  <c r="F27" i="4"/>
  <c r="G26" i="4"/>
  <c r="I26" i="4" s="1"/>
  <c r="F26" i="4"/>
  <c r="J26" i="4" s="1"/>
  <c r="G25" i="4"/>
  <c r="I25" i="4" s="1"/>
  <c r="F25" i="4"/>
  <c r="H25" i="4" s="1"/>
  <c r="G24" i="4"/>
  <c r="I24" i="4" s="1"/>
  <c r="G23" i="4"/>
  <c r="I23" i="4" s="1"/>
  <c r="G22" i="4"/>
  <c r="I22" i="4" s="1"/>
  <c r="G21" i="4"/>
  <c r="I21" i="4" s="1"/>
  <c r="F21" i="4"/>
  <c r="J21" i="4" s="1"/>
  <c r="C12" i="4"/>
  <c r="C10" i="4"/>
  <c r="D82" i="3"/>
  <c r="G14" i="3"/>
  <c r="G16" i="3" s="1"/>
  <c r="C60" i="2"/>
  <c r="D59" i="2"/>
  <c r="D58" i="2"/>
  <c r="D60" i="2" s="1"/>
  <c r="E64" i="2" s="1"/>
  <c r="C29" i="2"/>
  <c r="E25" i="2" s="1"/>
  <c r="D28" i="2"/>
  <c r="D29" i="2" s="1"/>
  <c r="C28" i="2"/>
  <c r="D94" i="1"/>
  <c r="E17" i="1"/>
  <c r="D17" i="1"/>
  <c r="C17" i="1"/>
  <c r="E13" i="1"/>
  <c r="E16" i="1" s="1"/>
  <c r="D13" i="1"/>
  <c r="D16" i="1" s="1"/>
  <c r="C13" i="1"/>
  <c r="C16" i="1" s="1"/>
  <c r="J160" i="4" l="1"/>
  <c r="G167" i="4"/>
  <c r="I167" i="4" s="1"/>
  <c r="F187" i="4"/>
  <c r="H187" i="4" s="1"/>
  <c r="G232" i="4"/>
  <c r="I232" i="4" s="1"/>
  <c r="J130" i="4"/>
  <c r="F170" i="4"/>
  <c r="H170" i="4" s="1"/>
  <c r="F192" i="4"/>
  <c r="J192" i="4" s="1"/>
  <c r="F38" i="4"/>
  <c r="F64" i="4"/>
  <c r="H64" i="4" s="1"/>
  <c r="F81" i="4"/>
  <c r="H81" i="4" s="1"/>
  <c r="F98" i="4"/>
  <c r="H98" i="4" s="1"/>
  <c r="F115" i="4"/>
  <c r="H115" i="4" s="1"/>
  <c r="F30" i="4"/>
  <c r="H30" i="4" s="1"/>
  <c r="F56" i="4"/>
  <c r="H56" i="4" s="1"/>
  <c r="F73" i="4"/>
  <c r="H73" i="4" s="1"/>
  <c r="G81" i="4"/>
  <c r="I81" i="4" s="1"/>
  <c r="F90" i="4"/>
  <c r="G98" i="4"/>
  <c r="I98" i="4" s="1"/>
  <c r="F107" i="4"/>
  <c r="G115" i="4"/>
  <c r="I115" i="4" s="1"/>
  <c r="F124" i="4"/>
  <c r="H124" i="4" s="1"/>
  <c r="F133" i="4"/>
  <c r="H133" i="4" s="1"/>
  <c r="F142" i="4"/>
  <c r="F152" i="4"/>
  <c r="G162" i="4"/>
  <c r="I162" i="4" s="1"/>
  <c r="F173" i="4"/>
  <c r="H173" i="4" s="1"/>
  <c r="G193" i="4"/>
  <c r="I193" i="4" s="1"/>
  <c r="G234" i="4"/>
  <c r="I234" i="4" s="1"/>
  <c r="F22" i="4"/>
  <c r="J22" i="4" s="1"/>
  <c r="G30" i="4"/>
  <c r="I30" i="4" s="1"/>
  <c r="G39" i="4"/>
  <c r="I39" i="4" s="1"/>
  <c r="F48" i="4"/>
  <c r="H48" i="4" s="1"/>
  <c r="G56" i="4"/>
  <c r="I56" i="4" s="1"/>
  <c r="F65" i="4"/>
  <c r="H65" i="4" s="1"/>
  <c r="G73" i="4"/>
  <c r="I73" i="4" s="1"/>
  <c r="F82" i="4"/>
  <c r="J82" i="4" s="1"/>
  <c r="G90" i="4"/>
  <c r="I90" i="4" s="1"/>
  <c r="F99" i="4"/>
  <c r="J99" i="4" s="1"/>
  <c r="G107" i="4"/>
  <c r="I107" i="4" s="1"/>
  <c r="F116" i="4"/>
  <c r="H116" i="4" s="1"/>
  <c r="G124" i="4"/>
  <c r="I124" i="4" s="1"/>
  <c r="G133" i="4"/>
  <c r="I133" i="4" s="1"/>
  <c r="G142" i="4"/>
  <c r="I142" i="4" s="1"/>
  <c r="G152" i="4"/>
  <c r="I152" i="4" s="1"/>
  <c r="F163" i="4"/>
  <c r="H163" i="4" s="1"/>
  <c r="F174" i="4"/>
  <c r="H174" i="4" s="1"/>
  <c r="G195" i="4"/>
  <c r="I195" i="4" s="1"/>
  <c r="F237" i="4"/>
  <c r="H237" i="4" s="1"/>
  <c r="F32" i="4"/>
  <c r="H32" i="4" s="1"/>
  <c r="F49" i="4"/>
  <c r="H49" i="4" s="1"/>
  <c r="F66" i="4"/>
  <c r="H66" i="4" s="1"/>
  <c r="F83" i="4"/>
  <c r="J83" i="4" s="1"/>
  <c r="F100" i="4"/>
  <c r="H100" i="4" s="1"/>
  <c r="F117" i="4"/>
  <c r="H117" i="4" s="1"/>
  <c r="F144" i="4"/>
  <c r="H144" i="4" s="1"/>
  <c r="F154" i="4"/>
  <c r="H154" i="4" s="1"/>
  <c r="F164" i="4"/>
  <c r="H164" i="4" s="1"/>
  <c r="F199" i="4"/>
  <c r="H199" i="4" s="1"/>
  <c r="F24" i="4"/>
  <c r="J24" i="4" s="1"/>
  <c r="G32" i="4"/>
  <c r="I32" i="4" s="1"/>
  <c r="F41" i="4"/>
  <c r="H41" i="4" s="1"/>
  <c r="G49" i="4"/>
  <c r="I49" i="4" s="1"/>
  <c r="F58" i="4"/>
  <c r="J58" i="4" s="1"/>
  <c r="G66" i="4"/>
  <c r="I66" i="4" s="1"/>
  <c r="F75" i="4"/>
  <c r="J75" i="4" s="1"/>
  <c r="G83" i="4"/>
  <c r="I83" i="4" s="1"/>
  <c r="F92" i="4"/>
  <c r="H92" i="4" s="1"/>
  <c r="G100" i="4"/>
  <c r="I100" i="4" s="1"/>
  <c r="F109" i="4"/>
  <c r="H109" i="4" s="1"/>
  <c r="G117" i="4"/>
  <c r="I117" i="4" s="1"/>
  <c r="F126" i="4"/>
  <c r="H126" i="4" s="1"/>
  <c r="G135" i="4"/>
  <c r="I135" i="4" s="1"/>
  <c r="G144" i="4"/>
  <c r="I144" i="4" s="1"/>
  <c r="G154" i="4"/>
  <c r="I154" i="4" s="1"/>
  <c r="G164" i="4"/>
  <c r="I164" i="4" s="1"/>
  <c r="G176" i="4"/>
  <c r="I176" i="4" s="1"/>
  <c r="G201" i="4"/>
  <c r="I201" i="4" s="1"/>
  <c r="J86" i="4"/>
  <c r="G157" i="4"/>
  <c r="I157" i="4" s="1"/>
  <c r="G166" i="4"/>
  <c r="I166" i="4" s="1"/>
  <c r="G178" i="4"/>
  <c r="I178" i="4" s="1"/>
  <c r="G200" i="4"/>
  <c r="I200" i="4" s="1"/>
  <c r="G240" i="4"/>
  <c r="I240" i="4" s="1"/>
  <c r="J141" i="4"/>
  <c r="F150" i="4"/>
  <c r="H150" i="4" s="1"/>
  <c r="G159" i="4"/>
  <c r="I159" i="4" s="1"/>
  <c r="F169" i="4"/>
  <c r="H169" i="4" s="1"/>
  <c r="F180" i="4"/>
  <c r="J180" i="4" s="1"/>
  <c r="G203" i="4"/>
  <c r="I203" i="4" s="1"/>
  <c r="F23" i="4"/>
  <c r="H23" i="4" s="1"/>
  <c r="F31" i="4"/>
  <c r="J31" i="4" s="1"/>
  <c r="F39" i="4"/>
  <c r="H39" i="4" s="1"/>
  <c r="F47" i="4"/>
  <c r="J47" i="4" s="1"/>
  <c r="F55" i="4"/>
  <c r="J55" i="4" s="1"/>
  <c r="F63" i="4"/>
  <c r="H63" i="4" s="1"/>
  <c r="F71" i="4"/>
  <c r="H71" i="4" s="1"/>
  <c r="F79" i="4"/>
  <c r="H79" i="4" s="1"/>
  <c r="F87" i="4"/>
  <c r="F95" i="4"/>
  <c r="H95" i="4" s="1"/>
  <c r="F103" i="4"/>
  <c r="H103" i="4" s="1"/>
  <c r="F111" i="4"/>
  <c r="H111" i="4" s="1"/>
  <c r="F119" i="4"/>
  <c r="H119" i="4" s="1"/>
  <c r="F136" i="4"/>
  <c r="H136" i="4" s="1"/>
  <c r="F153" i="4"/>
  <c r="H153" i="4" s="1"/>
  <c r="F184" i="4"/>
  <c r="H184" i="4" s="1"/>
  <c r="F203" i="4"/>
  <c r="H203" i="4" s="1"/>
  <c r="F128" i="4"/>
  <c r="H128" i="4" s="1"/>
  <c r="F145" i="4"/>
  <c r="H145" i="4" s="1"/>
  <c r="F162" i="4"/>
  <c r="H162" i="4" s="1"/>
  <c r="F171" i="4"/>
  <c r="H171" i="4" s="1"/>
  <c r="F185" i="4"/>
  <c r="H185" i="4" s="1"/>
  <c r="J27" i="4"/>
  <c r="J123" i="4"/>
  <c r="F188" i="4"/>
  <c r="H188" i="4" s="1"/>
  <c r="F204" i="4"/>
  <c r="H204" i="4" s="1"/>
  <c r="G242" i="4"/>
  <c r="I242" i="4" s="1"/>
  <c r="F127" i="4"/>
  <c r="J127" i="4" s="1"/>
  <c r="F135" i="4"/>
  <c r="F143" i="4"/>
  <c r="H143" i="4" s="1"/>
  <c r="F151" i="4"/>
  <c r="H151" i="4" s="1"/>
  <c r="F159" i="4"/>
  <c r="H159" i="4" s="1"/>
  <c r="F167" i="4"/>
  <c r="H167" i="4" s="1"/>
  <c r="F176" i="4"/>
  <c r="G188" i="4"/>
  <c r="I188" i="4" s="1"/>
  <c r="G204" i="4"/>
  <c r="I204" i="4" s="1"/>
  <c r="G244" i="4"/>
  <c r="I244" i="4" s="1"/>
  <c r="F177" i="4"/>
  <c r="H177" i="4" s="1"/>
  <c r="G168" i="4"/>
  <c r="I168" i="4" s="1"/>
  <c r="G177" i="4"/>
  <c r="I177" i="4" s="1"/>
  <c r="G191" i="4"/>
  <c r="I191" i="4" s="1"/>
  <c r="F209" i="4"/>
  <c r="H209" i="4" s="1"/>
  <c r="G181" i="4"/>
  <c r="I181" i="4" s="1"/>
  <c r="F194" i="4"/>
  <c r="H194" i="4" s="1"/>
  <c r="G212" i="4"/>
  <c r="I212" i="4" s="1"/>
  <c r="F245" i="4"/>
  <c r="H245" i="4" s="1"/>
  <c r="G173" i="4"/>
  <c r="I173" i="4" s="1"/>
  <c r="F183" i="4"/>
  <c r="H183" i="4" s="1"/>
  <c r="F195" i="4"/>
  <c r="H195" i="4" s="1"/>
  <c r="F213" i="4"/>
  <c r="H213" i="4" s="1"/>
  <c r="F247" i="4"/>
  <c r="H247" i="4" s="1"/>
  <c r="J102" i="4"/>
  <c r="J118" i="4"/>
  <c r="J79" i="4"/>
  <c r="J87" i="4"/>
  <c r="J95" i="4"/>
  <c r="J111" i="4"/>
  <c r="F175" i="4"/>
  <c r="H175" i="4" s="1"/>
  <c r="G185" i="4"/>
  <c r="I185" i="4" s="1"/>
  <c r="G196" i="4"/>
  <c r="I196" i="4" s="1"/>
  <c r="G218" i="4"/>
  <c r="I218" i="4" s="1"/>
  <c r="G187" i="4"/>
  <c r="I187" i="4" s="1"/>
  <c r="G199" i="4"/>
  <c r="I199" i="4" s="1"/>
  <c r="G216" i="4"/>
  <c r="I216" i="4" s="1"/>
  <c r="G248" i="4"/>
  <c r="I248" i="4" s="1"/>
  <c r="J38" i="4"/>
  <c r="J54" i="4"/>
  <c r="J62" i="4"/>
  <c r="F189" i="4"/>
  <c r="H189" i="4" s="1"/>
  <c r="F202" i="4"/>
  <c r="H202" i="4" s="1"/>
  <c r="F221" i="4"/>
  <c r="H221" i="4" s="1"/>
  <c r="J178" i="4"/>
  <c r="J179" i="4"/>
  <c r="J134" i="4"/>
  <c r="F181" i="4"/>
  <c r="G197" i="4"/>
  <c r="I197" i="4" s="1"/>
  <c r="G206" i="4"/>
  <c r="I206" i="4" s="1"/>
  <c r="G224" i="4"/>
  <c r="I224" i="4" s="1"/>
  <c r="F251" i="4"/>
  <c r="H251" i="4" s="1"/>
  <c r="J36" i="4"/>
  <c r="F198" i="4"/>
  <c r="H198" i="4" s="1"/>
  <c r="F207" i="4"/>
  <c r="G226" i="4"/>
  <c r="I226" i="4" s="1"/>
  <c r="G254" i="4"/>
  <c r="I254" i="4" s="1"/>
  <c r="J28" i="4"/>
  <c r="J61" i="4"/>
  <c r="J91" i="4"/>
  <c r="J106" i="4"/>
  <c r="J156" i="4"/>
  <c r="G182" i="4"/>
  <c r="I182" i="4" s="1"/>
  <c r="G189" i="4"/>
  <c r="I189" i="4" s="1"/>
  <c r="G198" i="4"/>
  <c r="I198" i="4" s="1"/>
  <c r="G207" i="4"/>
  <c r="I207" i="4" s="1"/>
  <c r="G228" i="4"/>
  <c r="I228" i="4" s="1"/>
  <c r="F255" i="4"/>
  <c r="H255" i="4" s="1"/>
  <c r="H50" i="4"/>
  <c r="H24" i="4"/>
  <c r="J45" i="4"/>
  <c r="H165" i="4"/>
  <c r="H180" i="4"/>
  <c r="J42" i="4"/>
  <c r="J70" i="4"/>
  <c r="J122" i="4"/>
  <c r="G184" i="4"/>
  <c r="I184" i="4" s="1"/>
  <c r="F191" i="4"/>
  <c r="H191" i="4" s="1"/>
  <c r="F200" i="4"/>
  <c r="G210" i="4"/>
  <c r="I210" i="4" s="1"/>
  <c r="I143" i="4"/>
  <c r="H54" i="4"/>
  <c r="H74" i="4"/>
  <c r="H90" i="4"/>
  <c r="H106" i="4"/>
  <c r="H122" i="4"/>
  <c r="J69" i="4"/>
  <c r="J149" i="4"/>
  <c r="J44" i="4"/>
  <c r="J60" i="4"/>
  <c r="J46" i="4"/>
  <c r="H70" i="4"/>
  <c r="H86" i="4"/>
  <c r="H91" i="4"/>
  <c r="H102" i="4"/>
  <c r="H107" i="4"/>
  <c r="H118" i="4"/>
  <c r="H123" i="4"/>
  <c r="H134" i="4"/>
  <c r="J150" i="4"/>
  <c r="H160" i="4"/>
  <c r="J155" i="4"/>
  <c r="H26" i="4"/>
  <c r="H130" i="4"/>
  <c r="J52" i="4"/>
  <c r="I61" i="4"/>
  <c r="H141" i="4"/>
  <c r="H42" i="4"/>
  <c r="H114" i="4"/>
  <c r="J37" i="4"/>
  <c r="H62" i="4"/>
  <c r="J78" i="4"/>
  <c r="J94" i="4"/>
  <c r="J110" i="4"/>
  <c r="J131" i="4"/>
  <c r="F182" i="4"/>
  <c r="H182" i="4" s="1"/>
  <c r="F208" i="4"/>
  <c r="H208" i="4" s="1"/>
  <c r="G236" i="4"/>
  <c r="I236" i="4" s="1"/>
  <c r="G258" i="4"/>
  <c r="I258" i="4" s="1"/>
  <c r="H87" i="4"/>
  <c r="H27" i="4"/>
  <c r="H142" i="4"/>
  <c r="H152" i="4"/>
  <c r="H172" i="4"/>
  <c r="H38" i="4"/>
  <c r="H78" i="4"/>
  <c r="H94" i="4"/>
  <c r="H110" i="4"/>
  <c r="J147" i="4"/>
  <c r="H156" i="4"/>
  <c r="J53" i="4"/>
  <c r="J68" i="4"/>
  <c r="J148" i="4"/>
  <c r="H168" i="4"/>
  <c r="G183" i="4"/>
  <c r="I183" i="4" s="1"/>
  <c r="F223" i="4"/>
  <c r="H223" i="4" s="1"/>
  <c r="E22" i="2"/>
  <c r="E23" i="2"/>
  <c r="G23" i="2" s="1"/>
  <c r="E26" i="2"/>
  <c r="G26" i="2" s="1"/>
  <c r="E27" i="2"/>
  <c r="G27" i="2" s="1"/>
  <c r="F17" i="1"/>
  <c r="C18" i="1"/>
  <c r="F16" i="1"/>
  <c r="F18" i="1" s="1"/>
  <c r="D18" i="1"/>
  <c r="G25" i="2"/>
  <c r="E18" i="1"/>
  <c r="F24" i="2"/>
  <c r="H24" i="2" s="1"/>
  <c r="F26" i="2"/>
  <c r="H26" i="2" s="1"/>
  <c r="F22" i="2"/>
  <c r="F25" i="2"/>
  <c r="H25" i="2" s="1"/>
  <c r="F27" i="2"/>
  <c r="H27" i="2" s="1"/>
  <c r="F23" i="2"/>
  <c r="H23" i="2" s="1"/>
  <c r="E59" i="2"/>
  <c r="E58" i="2"/>
  <c r="E60" i="2" s="1"/>
  <c r="E65" i="2" s="1"/>
  <c r="E66" i="2" s="1"/>
  <c r="J33" i="4"/>
  <c r="I26" i="2"/>
  <c r="J34" i="4"/>
  <c r="G22" i="2"/>
  <c r="E24" i="2"/>
  <c r="E28" i="2" s="1"/>
  <c r="H21" i="4"/>
  <c r="J25" i="4"/>
  <c r="H28" i="4"/>
  <c r="J35" i="4"/>
  <c r="J40" i="4"/>
  <c r="J57" i="4"/>
  <c r="J72" i="4"/>
  <c r="I23" i="2"/>
  <c r="J29" i="4"/>
  <c r="J43" i="4"/>
  <c r="J51" i="4"/>
  <c r="J59" i="4"/>
  <c r="J67" i="4"/>
  <c r="J77" i="4"/>
  <c r="J76" i="4"/>
  <c r="J80" i="4"/>
  <c r="J84" i="4"/>
  <c r="J88" i="4"/>
  <c r="J96" i="4"/>
  <c r="J104" i="4"/>
  <c r="J108" i="4"/>
  <c r="J112" i="4"/>
  <c r="J116" i="4"/>
  <c r="J120" i="4"/>
  <c r="J124" i="4"/>
  <c r="J132" i="4"/>
  <c r="J138" i="4"/>
  <c r="J139" i="4"/>
  <c r="J161" i="4"/>
  <c r="J85" i="4"/>
  <c r="J89" i="4"/>
  <c r="J93" i="4"/>
  <c r="J97" i="4"/>
  <c r="J101" i="4"/>
  <c r="J105" i="4"/>
  <c r="J113" i="4"/>
  <c r="J121" i="4"/>
  <c r="J125" i="4"/>
  <c r="J129" i="4"/>
  <c r="J133" i="4"/>
  <c r="J140" i="4"/>
  <c r="I147" i="4"/>
  <c r="J154" i="4"/>
  <c r="J146" i="4"/>
  <c r="H137" i="4"/>
  <c r="J158" i="4"/>
  <c r="J186" i="4"/>
  <c r="J190" i="4"/>
  <c r="F265" i="4"/>
  <c r="F261" i="4"/>
  <c r="F257" i="4"/>
  <c r="F253" i="4"/>
  <c r="F249" i="4"/>
  <c r="F264" i="4"/>
  <c r="F260" i="4"/>
  <c r="F256" i="4"/>
  <c r="F252" i="4"/>
  <c r="F248" i="4"/>
  <c r="F244" i="4"/>
  <c r="F240" i="4"/>
  <c r="F236" i="4"/>
  <c r="F232" i="4"/>
  <c r="F228" i="4"/>
  <c r="F224" i="4"/>
  <c r="F220" i="4"/>
  <c r="F216" i="4"/>
  <c r="F212" i="4"/>
  <c r="F263" i="4"/>
  <c r="F266" i="4"/>
  <c r="F262" i="4"/>
  <c r="F258" i="4"/>
  <c r="F254" i="4"/>
  <c r="F250" i="4"/>
  <c r="F246" i="4"/>
  <c r="F242" i="4"/>
  <c r="F238" i="4"/>
  <c r="F234" i="4"/>
  <c r="F230" i="4"/>
  <c r="F226" i="4"/>
  <c r="F222" i="4"/>
  <c r="F218" i="4"/>
  <c r="F214" i="4"/>
  <c r="F210" i="4"/>
  <c r="F206" i="4"/>
  <c r="H215" i="4"/>
  <c r="F217" i="4"/>
  <c r="F225" i="4"/>
  <c r="H231" i="4"/>
  <c r="F233" i="4"/>
  <c r="H239" i="4"/>
  <c r="F241" i="4"/>
  <c r="F259" i="4"/>
  <c r="G264" i="4"/>
  <c r="I264" i="4" s="1"/>
  <c r="G260" i="4"/>
  <c r="I260" i="4" s="1"/>
  <c r="G256" i="4"/>
  <c r="I256" i="4" s="1"/>
  <c r="G252" i="4"/>
  <c r="I252" i="4" s="1"/>
  <c r="G263" i="4"/>
  <c r="I263" i="4" s="1"/>
  <c r="G259" i="4"/>
  <c r="I259" i="4" s="1"/>
  <c r="G255" i="4"/>
  <c r="I255" i="4" s="1"/>
  <c r="G251" i="4"/>
  <c r="G247" i="4"/>
  <c r="I247" i="4" s="1"/>
  <c r="G243" i="4"/>
  <c r="I243" i="4" s="1"/>
  <c r="G239" i="4"/>
  <c r="I239" i="4" s="1"/>
  <c r="G235" i="4"/>
  <c r="I235" i="4" s="1"/>
  <c r="G231" i="4"/>
  <c r="I231" i="4" s="1"/>
  <c r="G227" i="4"/>
  <c r="I227" i="4" s="1"/>
  <c r="G223" i="4"/>
  <c r="I223" i="4" s="1"/>
  <c r="G219" i="4"/>
  <c r="I219" i="4" s="1"/>
  <c r="G215" i="4"/>
  <c r="I215" i="4" s="1"/>
  <c r="G211" i="4"/>
  <c r="I211" i="4" s="1"/>
  <c r="G266" i="4"/>
  <c r="I266" i="4" s="1"/>
  <c r="G262" i="4"/>
  <c r="I262" i="4" s="1"/>
  <c r="G265" i="4"/>
  <c r="I265" i="4" s="1"/>
  <c r="G261" i="4"/>
  <c r="I261" i="4" s="1"/>
  <c r="G257" i="4"/>
  <c r="I257" i="4" s="1"/>
  <c r="G253" i="4"/>
  <c r="I253" i="4" s="1"/>
  <c r="G249" i="4"/>
  <c r="I249" i="4" s="1"/>
  <c r="G245" i="4"/>
  <c r="I245" i="4" s="1"/>
  <c r="G241" i="4"/>
  <c r="I241" i="4" s="1"/>
  <c r="G237" i="4"/>
  <c r="I237" i="4" s="1"/>
  <c r="G233" i="4"/>
  <c r="I233" i="4" s="1"/>
  <c r="G229" i="4"/>
  <c r="I229" i="4" s="1"/>
  <c r="G225" i="4"/>
  <c r="I225" i="4" s="1"/>
  <c r="G221" i="4"/>
  <c r="I221" i="4" s="1"/>
  <c r="G217" i="4"/>
  <c r="I217" i="4" s="1"/>
  <c r="G213" i="4"/>
  <c r="I213" i="4" s="1"/>
  <c r="G209" i="4"/>
  <c r="I209" i="4" s="1"/>
  <c r="G205" i="4"/>
  <c r="I205" i="4" s="1"/>
  <c r="F193" i="4"/>
  <c r="F197" i="4"/>
  <c r="F201" i="4"/>
  <c r="F211" i="4"/>
  <c r="F219" i="4"/>
  <c r="F227" i="4"/>
  <c r="F235" i="4"/>
  <c r="G238" i="4"/>
  <c r="I238" i="4" s="1"/>
  <c r="F243" i="4"/>
  <c r="G246" i="4"/>
  <c r="I246" i="4" s="1"/>
  <c r="G250" i="4"/>
  <c r="I250" i="4" s="1"/>
  <c r="J164" i="4" l="1"/>
  <c r="J199" i="4"/>
  <c r="J119" i="4"/>
  <c r="J71" i="4"/>
  <c r="J203" i="4"/>
  <c r="J64" i="4"/>
  <c r="J135" i="4"/>
  <c r="J171" i="4"/>
  <c r="J103" i="4"/>
  <c r="J107" i="4"/>
  <c r="J153" i="4"/>
  <c r="H192" i="4"/>
  <c r="J157" i="4"/>
  <c r="J163" i="4"/>
  <c r="J176" i="4"/>
  <c r="H22" i="4"/>
  <c r="J142" i="4"/>
  <c r="J174" i="4"/>
  <c r="J170" i="4"/>
  <c r="J90" i="4"/>
  <c r="H82" i="4"/>
  <c r="J109" i="4"/>
  <c r="J100" i="4"/>
  <c r="H99" i="4"/>
  <c r="H75" i="4"/>
  <c r="J126" i="4"/>
  <c r="J56" i="4"/>
  <c r="J115" i="4"/>
  <c r="J49" i="4"/>
  <c r="H58" i="4"/>
  <c r="J98" i="4"/>
  <c r="J117" i="4"/>
  <c r="J73" i="4"/>
  <c r="J65" i="4"/>
  <c r="J92" i="4"/>
  <c r="J81" i="4"/>
  <c r="J41" i="4"/>
  <c r="J144" i="4"/>
  <c r="J166" i="4"/>
  <c r="J32" i="4"/>
  <c r="J30" i="4"/>
  <c r="H83" i="4"/>
  <c r="J66" i="4"/>
  <c r="H55" i="4"/>
  <c r="J48" i="4"/>
  <c r="J152" i="4"/>
  <c r="H31" i="4"/>
  <c r="J145" i="4"/>
  <c r="J39" i="4"/>
  <c r="J23" i="4"/>
  <c r="J169" i="4"/>
  <c r="J200" i="4"/>
  <c r="H47" i="4"/>
  <c r="J162" i="4"/>
  <c r="J195" i="4"/>
  <c r="H135" i="4"/>
  <c r="J177" i="4"/>
  <c r="J63" i="4"/>
  <c r="J194" i="4"/>
  <c r="J136" i="4"/>
  <c r="J128" i="4"/>
  <c r="H176" i="4"/>
  <c r="J204" i="4"/>
  <c r="J185" i="4"/>
  <c r="J167" i="4"/>
  <c r="H127" i="4"/>
  <c r="J159" i="4"/>
  <c r="J173" i="4"/>
  <c r="J188" i="4"/>
  <c r="J151" i="4"/>
  <c r="J181" i="4"/>
  <c r="H181" i="4"/>
  <c r="J168" i="4"/>
  <c r="J143" i="4"/>
  <c r="J175" i="4"/>
  <c r="J187" i="4"/>
  <c r="J207" i="4"/>
  <c r="J196" i="4"/>
  <c r="J189" i="4"/>
  <c r="H200" i="4"/>
  <c r="J202" i="4"/>
  <c r="J213" i="4"/>
  <c r="J198" i="4"/>
  <c r="H207" i="4"/>
  <c r="J191" i="4"/>
  <c r="J184" i="4"/>
  <c r="J183" i="4"/>
  <c r="J182" i="4"/>
  <c r="J239" i="4"/>
  <c r="J208" i="4"/>
  <c r="I22" i="2"/>
  <c r="C29" i="1"/>
  <c r="I267" i="4"/>
  <c r="I268" i="4" s="1"/>
  <c r="E269" i="4" s="1"/>
  <c r="E270" i="4" s="1"/>
  <c r="J235" i="4"/>
  <c r="H235" i="4"/>
  <c r="H225" i="4"/>
  <c r="J225" i="4"/>
  <c r="H250" i="4"/>
  <c r="J250" i="4"/>
  <c r="J220" i="4"/>
  <c r="H220" i="4"/>
  <c r="J249" i="4"/>
  <c r="H249" i="4"/>
  <c r="J205" i="4"/>
  <c r="J237" i="4"/>
  <c r="G267" i="4"/>
  <c r="J211" i="4"/>
  <c r="H211" i="4"/>
  <c r="J193" i="4"/>
  <c r="H193" i="4"/>
  <c r="H214" i="4"/>
  <c r="J214" i="4"/>
  <c r="H230" i="4"/>
  <c r="J230" i="4"/>
  <c r="H246" i="4"/>
  <c r="J246" i="4"/>
  <c r="H262" i="4"/>
  <c r="J262" i="4"/>
  <c r="J216" i="4"/>
  <c r="H216" i="4"/>
  <c r="J232" i="4"/>
  <c r="H232" i="4"/>
  <c r="J248" i="4"/>
  <c r="H248" i="4"/>
  <c r="J264" i="4"/>
  <c r="H264" i="4"/>
  <c r="J261" i="4"/>
  <c r="H261" i="4"/>
  <c r="J215" i="4"/>
  <c r="J245" i="4"/>
  <c r="I25" i="2"/>
  <c r="H241" i="4"/>
  <c r="J241" i="4"/>
  <c r="H218" i="4"/>
  <c r="J218" i="4"/>
  <c r="J236" i="4"/>
  <c r="H236" i="4"/>
  <c r="J227" i="4"/>
  <c r="H227" i="4"/>
  <c r="I251" i="4"/>
  <c r="J251" i="4"/>
  <c r="H259" i="4"/>
  <c r="J259" i="4"/>
  <c r="J206" i="4"/>
  <c r="H206" i="4"/>
  <c r="H222" i="4"/>
  <c r="J222" i="4"/>
  <c r="H238" i="4"/>
  <c r="J238" i="4"/>
  <c r="H254" i="4"/>
  <c r="J254" i="4"/>
  <c r="H263" i="4"/>
  <c r="J263" i="4"/>
  <c r="J224" i="4"/>
  <c r="H224" i="4"/>
  <c r="J240" i="4"/>
  <c r="H240" i="4"/>
  <c r="J256" i="4"/>
  <c r="H256" i="4"/>
  <c r="J253" i="4"/>
  <c r="H253" i="4"/>
  <c r="J223" i="4"/>
  <c r="J209" i="4"/>
  <c r="J229" i="4"/>
  <c r="F267" i="4"/>
  <c r="I27" i="2"/>
  <c r="H22" i="2"/>
  <c r="H28" i="2" s="1"/>
  <c r="D30" i="2" s="1"/>
  <c r="F28" i="2"/>
  <c r="H234" i="4"/>
  <c r="J234" i="4"/>
  <c r="H266" i="4"/>
  <c r="J266" i="4"/>
  <c r="J252" i="4"/>
  <c r="H252" i="4"/>
  <c r="J265" i="4"/>
  <c r="H265" i="4"/>
  <c r="J231" i="4"/>
  <c r="J201" i="4"/>
  <c r="H201" i="4"/>
  <c r="J243" i="4"/>
  <c r="H243" i="4"/>
  <c r="J219" i="4"/>
  <c r="H219" i="4"/>
  <c r="J197" i="4"/>
  <c r="H197" i="4"/>
  <c r="J255" i="4"/>
  <c r="H233" i="4"/>
  <c r="J233" i="4"/>
  <c r="H217" i="4"/>
  <c r="J217" i="4"/>
  <c r="J210" i="4"/>
  <c r="H210" i="4"/>
  <c r="H226" i="4"/>
  <c r="J226" i="4"/>
  <c r="H242" i="4"/>
  <c r="J242" i="4"/>
  <c r="H258" i="4"/>
  <c r="J258" i="4"/>
  <c r="J212" i="4"/>
  <c r="H212" i="4"/>
  <c r="J228" i="4"/>
  <c r="H228" i="4"/>
  <c r="J244" i="4"/>
  <c r="H244" i="4"/>
  <c r="J260" i="4"/>
  <c r="H260" i="4"/>
  <c r="J257" i="4"/>
  <c r="H257" i="4"/>
  <c r="J221" i="4"/>
  <c r="J247" i="4"/>
  <c r="I24" i="2"/>
  <c r="G24" i="2"/>
  <c r="G28" i="2" s="1"/>
  <c r="C30" i="2" s="1"/>
  <c r="C31" i="2" s="1"/>
  <c r="C24" i="1"/>
  <c r="J267" i="4" l="1"/>
  <c r="J268" i="4" s="1"/>
  <c r="D271" i="4" s="1"/>
  <c r="H267" i="4"/>
  <c r="H268" i="4" s="1"/>
  <c r="D269" i="4" s="1"/>
  <c r="D270" i="4" s="1"/>
  <c r="I28" i="2"/>
  <c r="C32" i="2" s="1"/>
  <c r="C35" i="2" s="1"/>
  <c r="D31" i="2"/>
  <c r="C33" i="2" s="1"/>
  <c r="C34" i="2" s="1"/>
  <c r="D272" i="4" l="1"/>
  <c r="D273" i="4" s="1"/>
  <c r="D274" i="4"/>
  <c r="G278" i="4" s="1"/>
  <c r="G34" i="2"/>
  <c r="C36" i="2"/>
  <c r="G36" i="2" s="1"/>
  <c r="G37" i="2" s="1"/>
  <c r="D280" i="4"/>
  <c r="D275" i="4"/>
  <c r="D281" i="4" l="1"/>
  <c r="D284" i="4" s="1"/>
  <c r="G277" i="4"/>
</calcChain>
</file>

<file path=xl/sharedStrings.xml><?xml version="1.0" encoding="utf-8"?>
<sst xmlns="http://schemas.openxmlformats.org/spreadsheetml/2006/main" count="9972" uniqueCount="162">
  <si>
    <t>Answer 1</t>
  </si>
  <si>
    <t>Let assume there are employees</t>
  </si>
  <si>
    <t>A</t>
  </si>
  <si>
    <t>B</t>
  </si>
  <si>
    <t>C</t>
  </si>
  <si>
    <t>Ratio of Number of employees</t>
  </si>
  <si>
    <t>Female %</t>
  </si>
  <si>
    <t>Male %</t>
  </si>
  <si>
    <t>Total</t>
  </si>
  <si>
    <t>Male(M)</t>
  </si>
  <si>
    <t>Female(F)</t>
  </si>
  <si>
    <t>a)</t>
  </si>
  <si>
    <t>Probability of a female employee is chosen for the annual best employee award that she is from Business Divison B</t>
  </si>
  <si>
    <t>P(F|B)</t>
  </si>
  <si>
    <t>b)</t>
  </si>
  <si>
    <t>Probability of a male employee is chosen for the annual best employee award that she is from Business Divison C</t>
  </si>
  <si>
    <t>P(M|C)</t>
  </si>
  <si>
    <t>Answer 2</t>
  </si>
  <si>
    <t>Agricultural Output of major cereal crops</t>
  </si>
  <si>
    <t xml:space="preserve">Total resident and commercial space bulit </t>
  </si>
  <si>
    <t>Growth in IIP</t>
  </si>
  <si>
    <t>Unemployment Rate</t>
  </si>
  <si>
    <t>Y</t>
  </si>
  <si>
    <t>X1</t>
  </si>
  <si>
    <t>X2</t>
  </si>
  <si>
    <t>X3</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</si>
  <si>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</si>
  <si>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</si>
  <si>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</si>
  <si>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</si>
  <si>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</si>
  <si>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</si>
  <si>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</si>
  <si>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</si>
  <si>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</si>
  <si>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</si>
  <si>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</si>
  <si>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</si>
  <si>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</si>
  <si>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</si>
  <si>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</si>
  <si>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Coefficients</t>
  </si>
  <si>
    <t>t Stat</t>
  </si>
  <si>
    <t>P-value</t>
  </si>
  <si>
    <t>Lower 95%</t>
  </si>
  <si>
    <t>Upper 95%</t>
  </si>
  <si>
    <t>Lower 95.0%</t>
  </si>
  <si>
    <t>Upper 95.0%</t>
  </si>
  <si>
    <t>Intercept</t>
  </si>
  <si>
    <t>X Variable 1</t>
  </si>
  <si>
    <t>X Variable 2</t>
  </si>
  <si>
    <t>X Variable 3</t>
  </si>
  <si>
    <t>Equation</t>
  </si>
  <si>
    <t>Y=0.11762*X1-1380.65*X2-2166.31*X3+470.94</t>
  </si>
  <si>
    <t>Coefficient of X1</t>
  </si>
  <si>
    <t>Coefficient of X2</t>
  </si>
  <si>
    <t>Coefficient of X3</t>
  </si>
  <si>
    <t>Value of R</t>
  </si>
  <si>
    <t xml:space="preserve">R is equal to 94.84% that is good and reliable value. We can predict future in these values because there is 94% </t>
  </si>
  <si>
    <t>N</t>
  </si>
  <si>
    <t>X</t>
  </si>
  <si>
    <t>Country</t>
  </si>
  <si>
    <t>Avg. Education Level of Mother</t>
  </si>
  <si>
    <t>Avg. Education level of Child</t>
  </si>
  <si>
    <t>x- x bar</t>
  </si>
  <si>
    <t xml:space="preserve">y- ybar </t>
  </si>
  <si>
    <t>(x-x bar)^2</t>
  </si>
  <si>
    <t>(y-y bar)^2</t>
  </si>
  <si>
    <t>(x- xbar)(y-y bar)</t>
  </si>
  <si>
    <t xml:space="preserve">C </t>
  </si>
  <si>
    <t>D</t>
  </si>
  <si>
    <t>E</t>
  </si>
  <si>
    <t>Sum</t>
  </si>
  <si>
    <t>Mean</t>
  </si>
  <si>
    <t>Variance</t>
  </si>
  <si>
    <t>Std Dev</t>
  </si>
  <si>
    <t>Co-Variance</t>
  </si>
  <si>
    <t>Correlation,r</t>
  </si>
  <si>
    <t>Y=1.06*x+0.07</t>
  </si>
  <si>
    <t>R^2</t>
  </si>
  <si>
    <t>b</t>
  </si>
  <si>
    <t>Slope,b</t>
  </si>
  <si>
    <t>x</t>
  </si>
  <si>
    <t>Intercept, a</t>
  </si>
  <si>
    <t>a</t>
  </si>
  <si>
    <t>R^2 is 91.51%, which is very good. We can say that y is dependent on x, and both are correlated</t>
  </si>
  <si>
    <t>value of R^2 is sufficient to build predictive model</t>
  </si>
  <si>
    <t>Value of R is 95.66% which is very good for further interpretation and analysis</t>
  </si>
  <si>
    <t>P(X)</t>
  </si>
  <si>
    <t>P(X)*X</t>
  </si>
  <si>
    <t>P(X)*(X-µ)^2</t>
  </si>
  <si>
    <r>
      <rPr>
        <b/>
        <sz val="11"/>
        <color theme="1"/>
        <rFont val="Calibri"/>
        <family val="2"/>
        <scheme val="minor"/>
      </rPr>
      <t>Mean or the expected value (</t>
    </r>
    <r>
      <rPr>
        <b/>
        <sz val="11"/>
        <color theme="1"/>
        <rFont val="Calibri"/>
        <family val="2"/>
      </rPr>
      <t>µ)</t>
    </r>
  </si>
  <si>
    <t>Variance(σ^2)</t>
  </si>
  <si>
    <t>Std Dev(σ)</t>
  </si>
  <si>
    <t xml:space="preserve">Probability of none of them occuring </t>
  </si>
  <si>
    <t xml:space="preserve">Probability of both of them occuring </t>
  </si>
  <si>
    <t>b)Find their individual probabilities of occurrence</t>
  </si>
  <si>
    <t xml:space="preserve">Probability of atleast one of them occuring </t>
  </si>
  <si>
    <t xml:space="preserve">a)Find the probability that exactly one of them will occur
</t>
  </si>
  <si>
    <t>Probability of exactly one of them occuring</t>
  </si>
  <si>
    <t>(i)</t>
  </si>
  <si>
    <t>What is the chance that at the end he will have 3 green balls in his hand?</t>
  </si>
  <si>
    <t>(ii)</t>
  </si>
  <si>
    <t>What is the chance that at the end he will have 3 blue balls in his hand?</t>
  </si>
  <si>
    <t>Date</t>
  </si>
  <si>
    <t>NIFTY 50 Close</t>
  </si>
  <si>
    <t>NAV of Canara Robeco Bluechip Equity Fund Direct Plan Growth Option (Rs)</t>
  </si>
  <si>
    <t>(x- x bar)</t>
  </si>
  <si>
    <t>(y-y bar)</t>
  </si>
  <si>
    <t>(x-xbar)^2</t>
  </si>
  <si>
    <t>(y-ybar)^2</t>
  </si>
  <si>
    <t>(x-xbar)(y-ybar)</t>
  </si>
  <si>
    <t>Covariance</t>
  </si>
  <si>
    <t>Correlation</t>
  </si>
  <si>
    <t>Slope, b</t>
  </si>
  <si>
    <t>Beta</t>
  </si>
  <si>
    <t>Intercept,a</t>
  </si>
  <si>
    <r>
      <t>a) </t>
    </r>
    <r>
      <rPr>
        <sz val="12"/>
        <color theme="1"/>
        <rFont val="Times New Roman"/>
        <family val="1"/>
      </rPr>
      <t>Find the systematic Risk BETA (Slope of the regression line if the daily returns are used for regression) for the Mutual fund</t>
    </r>
  </si>
  <si>
    <r>
      <t>a) </t>
    </r>
    <r>
      <rPr>
        <sz val="12"/>
        <color theme="1"/>
        <rFont val="Times New Roman"/>
        <family val="1"/>
      </rPr>
      <t>Predict the NAV of the Fund if  NIFTY 50 value jumped by 3.8% on 30</t>
    </r>
    <r>
      <rPr>
        <vertAlign val="superscript"/>
        <sz val="12"/>
        <color theme="1"/>
        <rFont val="Times New Roman"/>
        <family val="1"/>
      </rPr>
      <t>th</t>
    </r>
    <r>
      <rPr>
        <sz val="12"/>
        <color theme="1"/>
        <rFont val="Times New Roman"/>
        <family val="1"/>
      </rPr>
      <t xml:space="preserve"> Sep 2020 as compared to 4</t>
    </r>
    <r>
      <rPr>
        <vertAlign val="superscript"/>
        <sz val="12"/>
        <color theme="1"/>
        <rFont val="Times New Roman"/>
        <family val="1"/>
      </rPr>
      <t>th</t>
    </r>
    <r>
      <rPr>
        <sz val="12"/>
        <color theme="1"/>
        <rFont val="Times New Roman"/>
        <family val="1"/>
      </rPr>
      <t xml:space="preserve"> Sep 2020.</t>
    </r>
  </si>
  <si>
    <t>NAV on 30th Sep, 2020(X)</t>
  </si>
  <si>
    <t>c)Find R^2 value and comment on the significance of the model.</t>
  </si>
  <si>
    <t>Value of R^2 is 83.99% which means both x and y are correalted to each other and y is dependent on x</t>
  </si>
  <si>
    <t>bx+a</t>
  </si>
  <si>
    <t>Nifty Value</t>
  </si>
  <si>
    <t>Class Test 2</t>
  </si>
  <si>
    <t xml:space="preserve">1.  It is observed the number of employees in three business divisions A, B and C, of a leading tool manufacturing company are in the ratio 4:3:2. The gender ratio (defined as number of female employees out of total number of employees) in these three business divisions are 15%, 30% and 10% respectively. </t>
  </si>
  <si>
    <t xml:space="preserve">a) If a female employee is chosen for the annual best employee award, what is the chance that she is from the Business Division B?  </t>
  </si>
  <si>
    <t>b) If a male employee is chosen for the annual best employee award, what is the chance that she is from the Business Division C?</t>
  </si>
  <si>
    <t>2.      Following table depicts the Index of Industrial Production (IIP) data, Agricultural output of major cereals in million metric ton and total measure of construction activity along with the unemployment rate for the last eight years: </t>
  </si>
  <si>
    <t>Agricultural Output of major Cereal Crops (In MMT)</t>
  </si>
  <si>
    <t>Total residential and commercial space built per year  (In Mn Sq Ft)</t>
  </si>
  <si>
    <t>Growth in Index of Industrial Production (IIP)</t>
  </si>
  <si>
    <t>Unemployment Rate (%)</t>
  </si>
  <si>
    <t xml:space="preserve">From these paired data, find </t>
  </si>
  <si>
    <t>(i)               The Multiple regression equation with R^2 value</t>
  </si>
  <si>
    <t xml:space="preserve">(ii)             The coefficient of correlation between all pairs of variables. Comment on the value and sign of ‘r’. </t>
  </si>
  <si>
    <t>(iii)           What should be the estimated unemployment rate if the Growth in IIP slips to 10%, Agricultural output touches 250 MMT and total of 900 mn sq ft is added to the available floor area in the country next year?</t>
  </si>
  <si>
    <t>(iv)          What insight you can draw from this analysis?</t>
  </si>
  <si>
    <t>1.      In a survey conducted by eminent social scientists, the average education level of mother and child in 6 countries in central Africa is noted. The following table tabulates the average education level of mother and the child in these 6 countries. The quantitative substitutes of various education level is given as : Illiterate = 0, Basic education = 1, Primary education  = 2, High school education = 3, college drop outs = 4, Graduates = 5, Post Graduates and above  6.</t>
  </si>
  <si>
    <t>Average Education Level of Mother</t>
  </si>
  <si>
    <t>Average Education Level of Child</t>
  </si>
  <si>
    <t xml:space="preserve">(i)               The regression equation assuming the appropriate parameter as the independent variable </t>
  </si>
  <si>
    <t>(ii)             The coefficient of correlation between two sets of data. Comment on the value and sign of ‘r’.</t>
  </si>
  <si>
    <t>(iii)           Is the R-squared value sufficient to build a predictive model?</t>
  </si>
  <si>
    <t>(iv)           What should be the estimated average education level of a child in a similar country if the average education level of mother is 3.6?</t>
  </si>
  <si>
    <t>(v)             What insight you may draw from the analysis?</t>
  </si>
  <si>
    <t>2.      Malcom is invited in a game of chance in which 5 unbiased coins will be tossed simultaneously. If there are more heads than tails, then he will get Rs. 8000, otherwise he has to pay Rs. 5000.</t>
  </si>
  <si>
    <t>a)     Find the expected gain of Malcom if he plays the game and also find the corresponding standard deviation.</t>
  </si>
  <si>
    <t>b)     Suggest a possible ratio of the pay offs in the above-mentioned two events, that would make Malcom neutral to the game.</t>
  </si>
  <si>
    <t>c)     Should Malcom play the game? Please justify.</t>
  </si>
  <si>
    <t xml:space="preserve">1.      There are two independent events such that the probability of none of the occurring is 40.32% and the probability of both of them occurring is 12.32%. </t>
  </si>
  <si>
    <t>a)     Find the probability that exactly one of them will occur</t>
  </si>
  <si>
    <t>b)     Find their individual probabilities of occurrence</t>
  </si>
  <si>
    <t>(iv)           Is the model suitable for predictive purpose?</t>
  </si>
  <si>
    <t>(v)      What insight you can draw from this analysis?</t>
  </si>
  <si>
    <t xml:space="preserve">1.      Jitin is invited in a game of chance in which 5 unbiased coins will be tossed simultaneously. If there are more heads than tails, then he can proceed to draw three balls together from a basket having 5 green balls and 6 blue balls. If there are less heads than tails then he can proceed to draw three balls together from a basket having 6 green balls and 5 blue balls. </t>
  </si>
  <si>
    <t>a) What is the chance that at the end he will have 3 green balls in his hand?</t>
  </si>
  <si>
    <t>b) What is the chance that at the end he will have 3 blue balls in his hand?</t>
  </si>
  <si>
    <t>2.      Study the given data set on the NAV of a Blue Chip Mutual fund and NIFTY 50 value.</t>
  </si>
  <si>
    <t>a)     Find the systematic Risk BETA (Slope of the regression line if the daily returns are used for regression) for the Mutual fund</t>
  </si>
  <si>
    <t>b)     Predict the NAV of the Fund if  NIFTY 50 value jumped by 3.8% on 30th Sep 2020 as compared to 4th Sep 2020.</t>
  </si>
  <si>
    <t>c)     Find R^2 value and comment on the significance of the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</si>
</sst>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4">
    <font>
      <sz val="11"/>
      <color theme="1"/>
      <name val="Calibri"/>
      <charset val="134"/>
      <scheme val="minor"/>
    </font>
    <font>
      <b/>
      <sz val="11"/>
      <color theme="1"/>
      <name val="Calibri"/>
      <family val="2"/>
      <scheme val="minor"/>
    </font>
    <font>
      <sz val="12"/>
      <color theme="1"/>
      <name val="Times New Roman"/>
      <family val="1"/>
    </font>
    <font>
      <b/>
      <sz val="12"/>
      <color theme="1"/>
      <name val="Calibri"/>
      <family val="2"/>
      <scheme val="minor"/>
    </font>
    <font>
      <b/>
      <sz val="12"/>
      <name val="Times New Roman"/>
      <family val="1"/>
    </font>
    <font>
      <sz val="12"/>
      <color theme="1"/>
      <name val="Calibri"/>
      <family val="2"/>
      <scheme val="minor"/>
    </font>
    <font>
      <sz val="12"/>
      <name val="Times New Roman"/>
      <family val="1"/>
    </font>
    <font>
      <i/>
      <sz val="11"/>
      <color theme="1"/>
      <name val="Calibri"/>
      <family val="2"/>
      <scheme val="minor"/>
    </font>
    <font>
      <vertAlign val="superscript"/>
      <sz val="12"/>
      <color theme="1"/>
      <name val="Times New Roman"/>
      <family val="1"/>
    </font>
    <font>
      <b/>
      <sz val="11"/>
      <color theme="1"/>
      <name val="Calibri"/>
      <family val="2"/>
    </font>
    <font>
      <sz val="11"/>
      <color theme="1"/>
      <name val="Calibri"/>
      <family val="2"/>
      <scheme val="minor"/>
    </font>
    <font>
      <b/>
      <sz val="12"/>
      <color theme="1"/>
      <name val="Times New Roman"/>
      <family val="1"/>
    </font>
    <font>
      <b/>
      <sz val="12"/>
      <color rgb="FF000000"/>
      <name val="Calibri"/>
      <family val="2"/>
    </font>
    <font>
      <sz val="12"/>
      <color rgb="FF000000"/>
      <name val="Calibri"/>
      <family val="2"/>
    </font>
  </fonts>
  <fills count="8">
    <fill>
      <patternFill patternType="none"/>
    </fill>
    <fill>
      <patternFill patternType="gray125"/>
    </fill>
    <fill>
      <patternFill patternType="solid">
        <fgColor theme="9" tint="0.59999389629810485"/>
        <bgColor indexed="64"/>
      </patternFill>
    </fill>
    <fill>
      <patternFill patternType="solid">
        <fgColor rgb="FFFFFFFF"/>
        <bgColor indexed="64"/>
      </patternFill>
    </fill>
    <fill>
      <patternFill patternType="solid">
        <fgColor rgb="FFF9F9F9"/>
        <bgColor indexed="64"/>
      </patternFill>
    </fill>
    <fill>
      <patternFill patternType="solid">
        <fgColor theme="4" tint="0.59999389629810485"/>
        <bgColor indexed="64"/>
      </patternFill>
    </fill>
    <fill>
      <patternFill patternType="solid">
        <fgColor theme="4" tint="0.59999389629810485"/>
        <bgColor indexed="64"/>
      </patternFill>
    </fill>
    <fill>
      <patternFill patternType="solid">
        <fgColor theme="7" tint="0.79998168889431442"/>
        <bgColor indexed="64"/>
      </patternFill>
    </fill>
  </fills>
  <borders count="39">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medium">
        <color auto="1"/>
      </right>
      <top/>
      <bottom style="thin">
        <color auto="1"/>
      </bottom>
      <diagonal/>
    </border>
    <border>
      <left/>
      <right style="medium">
        <color auto="1"/>
      </right>
      <top style="medium">
        <color auto="1"/>
      </top>
      <bottom style="medium">
        <color auto="1"/>
      </bottom>
      <diagonal/>
    </border>
    <border>
      <left/>
      <right/>
      <top style="medium">
        <color auto="1"/>
      </top>
      <bottom style="thin">
        <color auto="1"/>
      </bottom>
      <diagonal/>
    </border>
    <border>
      <left/>
      <right/>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thin">
        <color auto="1"/>
      </top>
      <bottom/>
      <diagonal/>
    </border>
    <border>
      <left style="medium">
        <color auto="1"/>
      </left>
      <right/>
      <top style="thin">
        <color auto="1"/>
      </top>
      <bottom style="medium">
        <color auto="1"/>
      </bottom>
      <diagonal/>
    </border>
    <border>
      <left/>
      <right style="thin">
        <color auto="1"/>
      </right>
      <top style="medium">
        <color auto="1"/>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xf numFmtId="9" fontId="10" fillId="0" borderId="0" applyFont="0" applyFill="0" applyBorder="0" applyAlignment="0" applyProtection="0"/>
  </cellStyleXfs>
  <cellXfs count="176">
    <xf numFmtId="0" fontId="0" fillId="0" borderId="0" xfId="0"/>
    <xf numFmtId="0" fontId="1" fillId="0" borderId="0" xfId="0" applyFont="1"/>
    <xf numFmtId="0" fontId="0" fillId="0" borderId="0" xfId="0" applyAlignment="1">
      <alignment wrapText="1"/>
    </xf>
    <xf numFmtId="0" fontId="0" fillId="2" borderId="0" xfId="0" applyFill="1"/>
    <xf numFmtId="0" fontId="2" fillId="0" borderId="0" xfId="0" applyFont="1" applyAlignment="1">
      <alignment horizontal="justify"/>
    </xf>
    <xf numFmtId="0" fontId="3" fillId="0" borderId="1" xfId="0" applyFont="1" applyBorder="1" applyAlignment="1">
      <alignment horizontal="center"/>
    </xf>
    <xf numFmtId="0" fontId="3" fillId="0" borderId="2" xfId="0" applyFont="1" applyBorder="1" applyAlignment="1">
      <alignment horizontal="center"/>
    </xf>
    <xf numFmtId="0" fontId="4" fillId="3" borderId="2" xfId="0" applyFont="1" applyFill="1" applyBorder="1" applyAlignment="1">
      <alignment horizontal="center" wrapText="1"/>
    </xf>
    <xf numFmtId="0" fontId="0" fillId="0" borderId="2" xfId="0" applyBorder="1"/>
    <xf numFmtId="0" fontId="3" fillId="0" borderId="3" xfId="0" applyFont="1" applyBorder="1" applyAlignment="1">
      <alignment horizontal="center"/>
    </xf>
    <xf numFmtId="0" fontId="3" fillId="0" borderId="4" xfId="0" applyFont="1" applyBorder="1" applyAlignment="1">
      <alignment horizontal="center" vertical="center"/>
    </xf>
    <xf numFmtId="0" fontId="4" fillId="3" borderId="4" xfId="0" applyFont="1" applyFill="1" applyBorder="1" applyAlignment="1">
      <alignment horizontal="center" vertical="center" wrapText="1"/>
    </xf>
    <xf numFmtId="0" fontId="1" fillId="0" borderId="4" xfId="0" applyFont="1" applyBorder="1" applyAlignment="1">
      <alignment vertical="center"/>
    </xf>
    <xf numFmtId="15" fontId="5" fillId="0" borderId="3" xfId="0" applyNumberFormat="1" applyFont="1" applyBorder="1" applyAlignment="1">
      <alignment horizontal="center"/>
    </xf>
    <xf numFmtId="0" fontId="5" fillId="0" borderId="4" xfId="0" applyFont="1" applyBorder="1" applyAlignment="1">
      <alignment horizontal="center"/>
    </xf>
    <xf numFmtId="0" fontId="6" fillId="4" borderId="4" xfId="0" applyFont="1" applyFill="1" applyBorder="1" applyAlignment="1">
      <alignment horizontal="center" vertical="top" wrapText="1"/>
    </xf>
    <xf numFmtId="0" fontId="0" fillId="0" borderId="4" xfId="0" applyBorder="1"/>
    <xf numFmtId="0" fontId="6" fillId="3" borderId="4" xfId="0" applyFont="1" applyFill="1" applyBorder="1" applyAlignment="1">
      <alignment horizontal="center" vertical="top" wrapText="1"/>
    </xf>
    <xf numFmtId="0" fontId="0" fillId="0" borderId="5" xfId="0" applyBorder="1"/>
    <xf numFmtId="0" fontId="1" fillId="0" borderId="6" xfId="0" applyFont="1" applyBorder="1" applyAlignment="1">
      <alignment vertical="center"/>
    </xf>
    <xf numFmtId="0" fontId="0" fillId="0" borderId="6" xfId="0" applyBorder="1"/>
    <xf numFmtId="15" fontId="5" fillId="0" borderId="7" xfId="0" applyNumberFormat="1" applyFont="1" applyBorder="1" applyAlignment="1">
      <alignment horizontal="center"/>
    </xf>
    <xf numFmtId="0" fontId="5" fillId="0" borderId="8" xfId="0" applyFont="1" applyBorder="1" applyAlignment="1">
      <alignment horizontal="center"/>
    </xf>
    <xf numFmtId="0" fontId="6" fillId="4" borderId="8" xfId="0" applyFont="1" applyFill="1" applyBorder="1" applyAlignment="1">
      <alignment horizontal="center" vertical="top" wrapText="1"/>
    </xf>
    <xf numFmtId="0" fontId="0" fillId="0" borderId="8" xfId="0" applyBorder="1"/>
    <xf numFmtId="0" fontId="1" fillId="5" borderId="9" xfId="0" applyFont="1" applyFill="1" applyBorder="1"/>
    <xf numFmtId="0" fontId="1" fillId="5" borderId="10" xfId="0" applyFont="1" applyFill="1" applyBorder="1"/>
    <xf numFmtId="2" fontId="1" fillId="5" borderId="10" xfId="0" applyNumberFormat="1" applyFont="1" applyFill="1" applyBorder="1"/>
    <xf numFmtId="0" fontId="1" fillId="5" borderId="11" xfId="0" applyFont="1" applyFill="1" applyBorder="1"/>
    <xf numFmtId="0" fontId="1" fillId="5" borderId="12" xfId="0" applyFont="1" applyFill="1" applyBorder="1"/>
    <xf numFmtId="0" fontId="1" fillId="5" borderId="8" xfId="0" applyFont="1" applyFill="1" applyBorder="1"/>
    <xf numFmtId="0" fontId="1" fillId="5" borderId="1" xfId="0" applyFont="1" applyFill="1" applyBorder="1"/>
    <xf numFmtId="0" fontId="1" fillId="5" borderId="2" xfId="0" applyFont="1" applyFill="1" applyBorder="1" applyAlignment="1">
      <alignment horizontal="center"/>
    </xf>
    <xf numFmtId="0" fontId="1" fillId="5" borderId="5" xfId="0" applyFont="1" applyFill="1" applyBorder="1" applyAlignment="1">
      <alignment horizontal="center"/>
    </xf>
    <xf numFmtId="0" fontId="0" fillId="6" borderId="0" xfId="0" applyFill="1"/>
    <xf numFmtId="0" fontId="1" fillId="5" borderId="3" xfId="0" applyFont="1" applyFill="1" applyBorder="1"/>
    <xf numFmtId="0" fontId="1" fillId="5" borderId="4" xfId="0" applyFont="1" applyFill="1" applyBorder="1" applyAlignment="1">
      <alignment horizontal="center"/>
    </xf>
    <xf numFmtId="0" fontId="1" fillId="5" borderId="6" xfId="0" applyFont="1" applyFill="1" applyBorder="1" applyAlignment="1">
      <alignment horizontal="center"/>
    </xf>
    <xf numFmtId="0" fontId="1" fillId="5" borderId="13" xfId="0" applyFont="1" applyFill="1" applyBorder="1"/>
    <xf numFmtId="0" fontId="1" fillId="5" borderId="7" xfId="0" applyFont="1" applyFill="1" applyBorder="1"/>
    <xf numFmtId="0" fontId="0" fillId="0" borderId="14" xfId="0" applyBorder="1"/>
    <xf numFmtId="0" fontId="1" fillId="5" borderId="17" xfId="0" applyFont="1" applyFill="1" applyBorder="1"/>
    <xf numFmtId="0" fontId="1" fillId="5" borderId="14" xfId="0" applyFont="1" applyFill="1" applyBorder="1"/>
    <xf numFmtId="10" fontId="0" fillId="0" borderId="4" xfId="0" applyNumberFormat="1" applyBorder="1"/>
    <xf numFmtId="10" fontId="1" fillId="0" borderId="4" xfId="0" applyNumberFormat="1" applyFont="1" applyBorder="1"/>
    <xf numFmtId="0" fontId="1" fillId="0" borderId="15" xfId="0" applyFont="1" applyBorder="1"/>
    <xf numFmtId="0" fontId="1" fillId="0" borderId="4" xfId="0" applyFont="1" applyBorder="1" applyAlignment="1">
      <alignment horizontal="center" vertical="center" wrapText="1"/>
    </xf>
    <xf numFmtId="0" fontId="0" fillId="0" borderId="4" xfId="0" applyBorder="1" applyAlignment="1">
      <alignment horizontal="center"/>
    </xf>
    <xf numFmtId="10" fontId="0" fillId="0" borderId="4" xfId="0" applyNumberFormat="1" applyBorder="1" applyAlignment="1">
      <alignment horizontal="center"/>
    </xf>
    <xf numFmtId="0" fontId="7" fillId="0" borderId="19" xfId="0" applyFont="1" applyBorder="1" applyAlignment="1">
      <alignment horizontal="centerContinuous"/>
    </xf>
    <xf numFmtId="0" fontId="0" fillId="0" borderId="20" xfId="0" applyBorder="1"/>
    <xf numFmtId="0" fontId="7" fillId="0" borderId="19" xfId="0" applyFont="1" applyBorder="1" applyAlignment="1">
      <alignment horizontal="center"/>
    </xf>
    <xf numFmtId="0" fontId="0" fillId="0" borderId="1" xfId="0" applyBorder="1"/>
    <xf numFmtId="0" fontId="0" fillId="0" borderId="3" xfId="0" applyBorder="1"/>
    <xf numFmtId="0" fontId="0" fillId="0" borderId="7" xfId="0" applyBorder="1"/>
    <xf numFmtId="0" fontId="0" fillId="0" borderId="21" xfId="0" applyBorder="1"/>
    <xf numFmtId="10" fontId="0" fillId="0" borderId="22" xfId="0" applyNumberFormat="1" applyBorder="1"/>
    <xf numFmtId="9" fontId="0" fillId="0" borderId="14" xfId="0" applyNumberFormat="1" applyBorder="1"/>
    <xf numFmtId="0" fontId="1" fillId="0" borderId="23"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24"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xf>
    <xf numFmtId="0" fontId="1" fillId="0" borderId="24" xfId="0" applyFont="1" applyBorder="1" applyAlignment="1">
      <alignment horizontal="center" vertical="center"/>
    </xf>
    <xf numFmtId="2" fontId="0" fillId="0" borderId="4" xfId="0" applyNumberFormat="1" applyBorder="1"/>
    <xf numFmtId="164" fontId="0" fillId="0" borderId="4" xfId="0" applyNumberFormat="1" applyBorder="1"/>
    <xf numFmtId="0" fontId="1" fillId="0" borderId="7" xfId="0" applyFont="1" applyBorder="1" applyAlignment="1">
      <alignment horizontal="center"/>
    </xf>
    <xf numFmtId="0" fontId="1" fillId="0" borderId="8" xfId="0" applyFont="1" applyBorder="1" applyAlignment="1">
      <alignment horizontal="center"/>
    </xf>
    <xf numFmtId="2" fontId="1" fillId="0" borderId="8" xfId="0" applyNumberFormat="1" applyFont="1" applyBorder="1"/>
    <xf numFmtId="164" fontId="1" fillId="0" borderId="8" xfId="0" applyNumberFormat="1" applyFont="1" applyBorder="1"/>
    <xf numFmtId="2" fontId="1" fillId="0" borderId="27" xfId="0" applyNumberFormat="1" applyFont="1" applyBorder="1" applyAlignment="1">
      <alignment horizontal="center"/>
    </xf>
    <xf numFmtId="2" fontId="1" fillId="0" borderId="17" xfId="0" applyNumberFormat="1" applyFont="1" applyBorder="1" applyAlignment="1">
      <alignment horizontal="center"/>
    </xf>
    <xf numFmtId="2" fontId="1" fillId="0" borderId="28" xfId="0" applyNumberFormat="1" applyFont="1" applyBorder="1" applyAlignment="1">
      <alignment horizontal="center"/>
    </xf>
    <xf numFmtId="2" fontId="1" fillId="0" borderId="6" xfId="0" applyNumberFormat="1" applyFont="1" applyBorder="1" applyAlignment="1">
      <alignment horizontal="center"/>
    </xf>
    <xf numFmtId="0" fontId="1" fillId="0" borderId="5" xfId="0" applyFont="1" applyBorder="1" applyAlignment="1">
      <alignment horizontal="center" vertical="center"/>
    </xf>
    <xf numFmtId="9" fontId="0" fillId="0" borderId="4" xfId="0" applyNumberFormat="1" applyBorder="1"/>
    <xf numFmtId="1" fontId="0" fillId="0" borderId="4" xfId="0" applyNumberFormat="1" applyBorder="1"/>
    <xf numFmtId="9" fontId="0" fillId="0" borderId="12" xfId="0" applyNumberFormat="1" applyBorder="1"/>
    <xf numFmtId="1" fontId="0" fillId="0" borderId="12" xfId="0" applyNumberFormat="1" applyBorder="1"/>
    <xf numFmtId="0" fontId="0" fillId="0" borderId="33" xfId="0" applyBorder="1"/>
    <xf numFmtId="0" fontId="0" fillId="0" borderId="34" xfId="0" applyBorder="1"/>
    <xf numFmtId="0" fontId="1" fillId="0" borderId="6" xfId="0" applyFont="1" applyBorder="1" applyAlignment="1">
      <alignment horizontal="center" vertical="center"/>
    </xf>
    <xf numFmtId="164" fontId="0" fillId="0" borderId="6" xfId="0" applyNumberFormat="1" applyBorder="1"/>
    <xf numFmtId="164" fontId="1" fillId="0" borderId="14" xfId="0" applyNumberFormat="1" applyFont="1" applyBorder="1"/>
    <xf numFmtId="0" fontId="0" fillId="0" borderId="22" xfId="0" applyBorder="1"/>
    <xf numFmtId="0" fontId="0" fillId="0" borderId="2" xfId="0" applyBorder="1" applyAlignment="1">
      <alignment horizontal="center"/>
    </xf>
    <xf numFmtId="0" fontId="0" fillId="0" borderId="5" xfId="0" applyBorder="1" applyAlignment="1">
      <alignment horizontal="center"/>
    </xf>
    <xf numFmtId="0" fontId="0" fillId="0" borderId="3" xfId="0" applyBorder="1" applyAlignment="1">
      <alignment vertical="center" wrapText="1"/>
    </xf>
    <xf numFmtId="0" fontId="0" fillId="0" borderId="4" xfId="0" applyBorder="1" applyAlignment="1">
      <alignment vertical="center"/>
    </xf>
    <xf numFmtId="0" fontId="0" fillId="0" borderId="6" xfId="0" applyBorder="1" applyAlignment="1">
      <alignment vertical="center"/>
    </xf>
    <xf numFmtId="9" fontId="0" fillId="0" borderId="6" xfId="0" applyNumberFormat="1" applyBorder="1"/>
    <xf numFmtId="9" fontId="0" fillId="0" borderId="8" xfId="0" applyNumberFormat="1" applyBorder="1"/>
    <xf numFmtId="0" fontId="0" fillId="0" borderId="4" xfId="0" applyBorder="1"/>
    <xf numFmtId="0" fontId="0" fillId="0" borderId="0" xfId="0"/>
    <xf numFmtId="0" fontId="0" fillId="0" borderId="0" xfId="0"/>
    <xf numFmtId="0" fontId="11" fillId="0" borderId="36" xfId="0" applyFont="1" applyBorder="1" applyAlignment="1">
      <alignment horizontal="justify" vertical="center" wrapText="1"/>
    </xf>
    <xf numFmtId="0" fontId="2" fillId="0" borderId="36" xfId="0" applyFont="1" applyBorder="1" applyAlignment="1">
      <alignment horizontal="center" vertical="center" wrapText="1"/>
    </xf>
    <xf numFmtId="0" fontId="11" fillId="0" borderId="37" xfId="0" applyFont="1" applyBorder="1" applyAlignment="1">
      <alignment horizontal="justify" vertical="center" wrapText="1"/>
    </xf>
    <xf numFmtId="0" fontId="2" fillId="0" borderId="37" xfId="0" applyFont="1" applyBorder="1" applyAlignment="1">
      <alignment horizontal="center" vertical="center" wrapText="1"/>
    </xf>
    <xf numFmtId="0" fontId="2" fillId="0" borderId="38" xfId="0" applyFont="1" applyBorder="1" applyAlignment="1">
      <alignment horizontal="center" vertical="center" wrapText="1"/>
    </xf>
    <xf numFmtId="10" fontId="2" fillId="0" borderId="38" xfId="0" applyNumberFormat="1" applyFont="1" applyBorder="1" applyAlignment="1">
      <alignment horizontal="center" vertical="center" wrapText="1"/>
    </xf>
    <xf numFmtId="10" fontId="2" fillId="0" borderId="38" xfId="0" applyNumberFormat="1" applyFont="1" applyBorder="1" applyAlignment="1">
      <alignment vertical="center" wrapText="1"/>
    </xf>
    <xf numFmtId="10" fontId="0" fillId="7" borderId="22" xfId="1" applyNumberFormat="1" applyFont="1" applyFill="1" applyBorder="1"/>
    <xf numFmtId="0" fontId="0" fillId="7" borderId="0" xfId="0" applyFill="1"/>
    <xf numFmtId="0" fontId="0" fillId="7" borderId="20" xfId="0" applyFill="1" applyBorder="1"/>
    <xf numFmtId="2" fontId="0" fillId="7" borderId="22" xfId="0" applyNumberFormat="1" applyFill="1" applyBorder="1"/>
    <xf numFmtId="0" fontId="12" fillId="0" borderId="13" xfId="0" applyFont="1" applyBorder="1" applyAlignment="1">
      <alignment horizontal="center" vertical="center"/>
    </xf>
    <xf numFmtId="0" fontId="12" fillId="0" borderId="18" xfId="0" applyFont="1" applyBorder="1" applyAlignment="1">
      <alignment horizontal="center" vertical="center"/>
    </xf>
    <xf numFmtId="0" fontId="11" fillId="0" borderId="4" xfId="0" applyFont="1" applyBorder="1" applyAlignment="1">
      <alignment horizontal="center" vertical="center"/>
    </xf>
    <xf numFmtId="0" fontId="11" fillId="0" borderId="37" xfId="0" applyFont="1" applyBorder="1" applyAlignment="1">
      <alignment horizontal="center" vertical="center"/>
    </xf>
    <xf numFmtId="0" fontId="13" fillId="0" borderId="38" xfId="0" applyFont="1" applyBorder="1" applyAlignment="1">
      <alignment horizontal="center" vertical="center"/>
    </xf>
    <xf numFmtId="0" fontId="0" fillId="0" borderId="0" xfId="0" applyBorder="1"/>
    <xf numFmtId="0" fontId="11" fillId="0" borderId="0" xfId="0" applyFont="1" applyBorder="1" applyAlignment="1">
      <alignment horizontal="center" vertical="center"/>
    </xf>
    <xf numFmtId="0" fontId="1" fillId="7" borderId="25" xfId="0" applyFont="1" applyFill="1" applyBorder="1" applyAlignment="1">
      <alignment horizontal="center" vertical="center"/>
    </xf>
    <xf numFmtId="0" fontId="1" fillId="7" borderId="26" xfId="0" applyFont="1" applyFill="1" applyBorder="1" applyAlignment="1">
      <alignment horizontal="center" vertical="center"/>
    </xf>
    <xf numFmtId="0" fontId="1" fillId="7" borderId="24" xfId="0" applyFont="1" applyFill="1" applyBorder="1" applyAlignment="1">
      <alignment horizontal="center" vertical="center"/>
    </xf>
    <xf numFmtId="0" fontId="1" fillId="7" borderId="1" xfId="0" applyFont="1" applyFill="1" applyBorder="1"/>
    <xf numFmtId="0" fontId="1" fillId="7" borderId="5" xfId="0" applyFont="1" applyFill="1" applyBorder="1"/>
    <xf numFmtId="0" fontId="1" fillId="7" borderId="3" xfId="0" applyFont="1" applyFill="1" applyBorder="1"/>
    <xf numFmtId="2" fontId="1" fillId="7" borderId="6" xfId="0" applyNumberFormat="1" applyFont="1" applyFill="1" applyBorder="1"/>
    <xf numFmtId="0" fontId="1" fillId="7" borderId="6" xfId="0" applyFont="1" applyFill="1" applyBorder="1"/>
    <xf numFmtId="0" fontId="1" fillId="7" borderId="7" xfId="0" applyFont="1" applyFill="1" applyBorder="1"/>
    <xf numFmtId="2" fontId="1" fillId="7" borderId="14" xfId="0" applyNumberFormat="1" applyFont="1" applyFill="1" applyBorder="1"/>
    <xf numFmtId="0" fontId="1" fillId="7" borderId="30" xfId="0" applyFont="1" applyFill="1" applyBorder="1"/>
    <xf numFmtId="164" fontId="1" fillId="7" borderId="31" xfId="0" applyNumberFormat="1" applyFont="1" applyFill="1" applyBorder="1"/>
    <xf numFmtId="2" fontId="1" fillId="7" borderId="21" xfId="0" applyNumberFormat="1" applyFont="1" applyFill="1" applyBorder="1"/>
    <xf numFmtId="1" fontId="1" fillId="7" borderId="32" xfId="0" applyNumberFormat="1" applyFont="1" applyFill="1" applyBorder="1"/>
    <xf numFmtId="0" fontId="1" fillId="7" borderId="22" xfId="0" applyFont="1" applyFill="1" applyBorder="1"/>
    <xf numFmtId="0" fontId="1" fillId="7" borderId="1" xfId="0" applyFont="1" applyFill="1" applyBorder="1" applyAlignment="1">
      <alignment wrapText="1"/>
    </xf>
    <xf numFmtId="1" fontId="1" fillId="7" borderId="5" xfId="0" applyNumberFormat="1" applyFont="1" applyFill="1" applyBorder="1"/>
    <xf numFmtId="0" fontId="1" fillId="7" borderId="14" xfId="0" applyFont="1" applyFill="1" applyBorder="1"/>
    <xf numFmtId="10" fontId="1" fillId="7" borderId="4" xfId="0" applyNumberFormat="1" applyFont="1" applyFill="1" applyBorder="1"/>
    <xf numFmtId="10" fontId="1" fillId="7" borderId="13" xfId="0" applyNumberFormat="1" applyFont="1" applyFill="1" applyBorder="1"/>
    <xf numFmtId="0" fontId="0" fillId="7" borderId="15" xfId="0" applyFill="1" applyBorder="1"/>
    <xf numFmtId="0" fontId="0" fillId="7" borderId="16" xfId="0" applyFill="1" applyBorder="1"/>
    <xf numFmtId="0" fontId="0" fillId="7" borderId="18" xfId="0" applyFill="1" applyBorder="1"/>
    <xf numFmtId="0" fontId="0" fillId="0" borderId="15" xfId="0" applyBorder="1"/>
    <xf numFmtId="0" fontId="0" fillId="0" borderId="16" xfId="0" applyBorder="1"/>
    <xf numFmtId="0" fontId="0" fillId="0" borderId="35" xfId="0" applyBorder="1"/>
    <xf numFmtId="0" fontId="0" fillId="0" borderId="0" xfId="0" applyAlignment="1">
      <alignment wrapText="1"/>
    </xf>
    <xf numFmtId="0" fontId="1" fillId="7" borderId="15" xfId="0" applyFont="1" applyFill="1" applyBorder="1"/>
    <xf numFmtId="0" fontId="1" fillId="7" borderId="16" xfId="0" applyFont="1" applyFill="1" applyBorder="1"/>
    <xf numFmtId="0" fontId="1" fillId="7" borderId="18" xfId="0" applyFont="1" applyFill="1" applyBorder="1"/>
    <xf numFmtId="0" fontId="0" fillId="7" borderId="15" xfId="0" applyFill="1" applyBorder="1"/>
    <xf numFmtId="0" fontId="0" fillId="7" borderId="16" xfId="0" applyFill="1" applyBorder="1"/>
    <xf numFmtId="0" fontId="0" fillId="7" borderId="18" xfId="0" applyFill="1" applyBorder="1"/>
    <xf numFmtId="0" fontId="0" fillId="7" borderId="21" xfId="0" applyFill="1" applyBorder="1"/>
    <xf numFmtId="0" fontId="0" fillId="7" borderId="32" xfId="0" applyFill="1" applyBorder="1"/>
    <xf numFmtId="0" fontId="0" fillId="7" borderId="22" xfId="0" applyFill="1" applyBorder="1"/>
    <xf numFmtId="2" fontId="1" fillId="0" borderId="28" xfId="0" applyNumberFormat="1" applyFont="1" applyBorder="1" applyAlignment="1">
      <alignment horizontal="center"/>
    </xf>
    <xf numFmtId="2" fontId="1" fillId="0" borderId="6" xfId="0" applyNumberFormat="1" applyFont="1" applyBorder="1" applyAlignment="1">
      <alignment horizontal="center"/>
    </xf>
    <xf numFmtId="10" fontId="1" fillId="0" borderId="28" xfId="1" applyNumberFormat="1" applyFont="1" applyBorder="1" applyAlignment="1">
      <alignment horizontal="center"/>
    </xf>
    <xf numFmtId="10" fontId="1" fillId="0" borderId="6" xfId="1" applyNumberFormat="1" applyFont="1" applyBorder="1" applyAlignment="1">
      <alignment horizontal="center"/>
    </xf>
    <xf numFmtId="2" fontId="1" fillId="0" borderId="29" xfId="0" applyNumberFormat="1" applyFont="1" applyBorder="1" applyAlignment="1">
      <alignment horizontal="center"/>
    </xf>
    <xf numFmtId="2" fontId="1" fillId="0" borderId="14" xfId="0" applyNumberFormat="1" applyFont="1" applyBorder="1" applyAlignment="1">
      <alignment horizontal="center"/>
    </xf>
    <xf numFmtId="0" fontId="2" fillId="0" borderId="36" xfId="0" applyFont="1" applyBorder="1" applyAlignment="1">
      <alignment horizontal="center" vertical="center" wrapText="1"/>
    </xf>
    <xf numFmtId="0" fontId="2" fillId="0" borderId="37" xfId="0" applyFont="1" applyBorder="1" applyAlignment="1">
      <alignment horizontal="center" vertical="center" wrapText="1"/>
    </xf>
    <xf numFmtId="0" fontId="0" fillId="0" borderId="4" xfId="0" applyBorder="1"/>
    <xf numFmtId="0" fontId="1" fillId="0" borderId="4" xfId="0" applyFont="1" applyBorder="1"/>
    <xf numFmtId="0" fontId="0" fillId="0" borderId="0" xfId="0"/>
    <xf numFmtId="0" fontId="1" fillId="0" borderId="15" xfId="0" applyFont="1" applyBorder="1"/>
    <xf numFmtId="0" fontId="1" fillId="0" borderId="16" xfId="0" applyFont="1" applyBorder="1"/>
    <xf numFmtId="0" fontId="11" fillId="0" borderId="36" xfId="0" applyFont="1" applyBorder="1" applyAlignment="1">
      <alignment horizontal="justify" vertical="center" wrapText="1"/>
    </xf>
    <xf numFmtId="0" fontId="11" fillId="0" borderId="37" xfId="0" applyFont="1" applyBorder="1" applyAlignment="1">
      <alignment horizontal="justify" vertical="center" wrapText="1"/>
    </xf>
    <xf numFmtId="0" fontId="1" fillId="5" borderId="4" xfId="0" applyFont="1" applyFill="1" applyBorder="1" applyAlignment="1">
      <alignment horizontal="center"/>
    </xf>
    <xf numFmtId="0" fontId="1" fillId="5" borderId="6" xfId="0" applyFont="1" applyFill="1" applyBorder="1" applyAlignment="1">
      <alignment horizontal="center"/>
    </xf>
    <xf numFmtId="0" fontId="1" fillId="5" borderId="8" xfId="0" applyFont="1" applyFill="1" applyBorder="1" applyAlignment="1">
      <alignment horizontal="center"/>
    </xf>
    <xf numFmtId="0" fontId="1" fillId="5" borderId="14" xfId="0" applyFont="1" applyFill="1" applyBorder="1" applyAlignment="1">
      <alignment horizontal="center"/>
    </xf>
    <xf numFmtId="0" fontId="0" fillId="7" borderId="15" xfId="0" applyFill="1" applyBorder="1" applyAlignment="1">
      <alignment wrapText="1"/>
    </xf>
    <xf numFmtId="0" fontId="0" fillId="7" borderId="16" xfId="0" applyFill="1" applyBorder="1" applyAlignment="1">
      <alignment wrapText="1"/>
    </xf>
    <xf numFmtId="0" fontId="0" fillId="7" borderId="18" xfId="0" applyFill="1" applyBorder="1" applyAlignment="1">
      <alignment wrapText="1"/>
    </xf>
    <xf numFmtId="0" fontId="1" fillId="7" borderId="1" xfId="0" applyFont="1" applyFill="1" applyBorder="1" applyAlignment="1">
      <alignment horizontal="center" vertical="center"/>
    </xf>
    <xf numFmtId="0" fontId="1" fillId="7" borderId="5" xfId="0" applyFont="1" applyFill="1" applyBorder="1" applyAlignment="1">
      <alignment horizontal="center" vertical="center"/>
    </xf>
    <xf numFmtId="0" fontId="1" fillId="7" borderId="7" xfId="0" applyFont="1" applyFill="1" applyBorder="1" applyAlignment="1">
      <alignment horizontal="center" vertical="center"/>
    </xf>
    <xf numFmtId="0" fontId="1" fillId="7" borderId="14" xfId="0" applyFont="1" applyFill="1" applyBorder="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94"/>
  <sheetViews>
    <sheetView zoomScale="85" zoomScaleNormal="85" workbookViewId="0">
      <selection activeCell="I12" sqref="I12"/>
    </sheetView>
  </sheetViews>
  <sheetFormatPr defaultColWidth="9" defaultRowHeight="14.6"/>
  <cols>
    <col min="1" max="1" width="9.84375" customWidth="1"/>
    <col min="2" max="2" width="14.3046875" customWidth="1"/>
    <col min="3" max="4" width="14.4609375" customWidth="1"/>
    <col min="5" max="6" width="12.4609375" customWidth="1"/>
  </cols>
  <sheetData>
    <row r="1" spans="1:28">
      <c r="A1" s="94"/>
      <c r="B1" s="94" t="s">
        <v>124</v>
      </c>
      <c r="C1" s="94"/>
      <c r="D1" s="94"/>
      <c r="E1" s="94"/>
      <c r="F1" s="94"/>
      <c r="G1" s="94"/>
      <c r="H1" s="94"/>
      <c r="I1" s="94"/>
      <c r="J1" s="94"/>
      <c r="K1" s="94"/>
      <c r="L1" s="94"/>
      <c r="M1" s="94"/>
      <c r="N1" s="94"/>
      <c r="O1" s="94"/>
      <c r="P1" s="94"/>
      <c r="Q1" s="94"/>
      <c r="R1" s="94"/>
      <c r="S1" s="94"/>
      <c r="T1" s="94"/>
      <c r="U1" s="94"/>
      <c r="V1" s="94"/>
      <c r="W1" s="94"/>
      <c r="X1" s="94"/>
      <c r="Y1" s="94"/>
      <c r="Z1" s="94"/>
      <c r="AA1" s="94"/>
      <c r="AB1" s="94"/>
    </row>
    <row r="2" spans="1:28">
      <c r="A2" s="94"/>
      <c r="B2" s="94"/>
      <c r="C2" s="94"/>
      <c r="D2" s="94"/>
      <c r="E2" s="94"/>
      <c r="F2" s="94"/>
      <c r="G2" s="94"/>
      <c r="H2" s="94"/>
      <c r="I2" s="94"/>
      <c r="J2" s="94"/>
      <c r="K2" s="94"/>
      <c r="L2" s="94"/>
      <c r="M2" s="94"/>
      <c r="N2" s="94"/>
      <c r="O2" s="94"/>
      <c r="P2" s="94"/>
      <c r="Q2" s="94"/>
      <c r="R2" s="94"/>
      <c r="S2" s="94"/>
      <c r="T2" s="94"/>
      <c r="U2" s="94"/>
      <c r="V2" s="94"/>
      <c r="W2" s="94"/>
      <c r="X2" s="94"/>
      <c r="Y2" s="94"/>
      <c r="Z2" s="94"/>
      <c r="AA2" s="94"/>
      <c r="AB2" s="94"/>
    </row>
    <row r="3" spans="1:28" ht="18.55" customHeight="1">
      <c r="A3" s="94"/>
      <c r="B3" s="94" t="s">
        <v>125</v>
      </c>
      <c r="C3" s="94"/>
      <c r="D3" s="94"/>
      <c r="E3" s="94"/>
      <c r="F3" s="94"/>
      <c r="G3" s="94"/>
      <c r="H3" s="94"/>
      <c r="I3" s="94"/>
      <c r="J3" s="94"/>
      <c r="K3" s="94"/>
      <c r="L3" s="94"/>
      <c r="M3" s="94"/>
      <c r="N3" s="94"/>
      <c r="O3" s="94"/>
      <c r="P3" s="94"/>
      <c r="Q3" s="94"/>
      <c r="R3" s="94"/>
      <c r="S3" s="94"/>
      <c r="T3" s="94"/>
      <c r="U3" s="94"/>
      <c r="V3" s="94"/>
      <c r="W3" s="94"/>
      <c r="X3" s="94"/>
      <c r="Y3" s="94"/>
      <c r="Z3" s="94"/>
      <c r="AA3" s="94"/>
      <c r="AB3" s="94"/>
    </row>
    <row r="4" spans="1:28">
      <c r="A4" s="94"/>
      <c r="B4" s="94" t="s">
        <v>126</v>
      </c>
      <c r="C4" s="94"/>
      <c r="D4" s="94"/>
      <c r="E4" s="94"/>
      <c r="F4" s="94"/>
      <c r="G4" s="94"/>
      <c r="H4" s="94"/>
      <c r="I4" s="94"/>
      <c r="J4" s="94"/>
      <c r="K4" s="94"/>
      <c r="L4" s="94"/>
      <c r="M4" s="94"/>
      <c r="N4" s="94"/>
      <c r="O4" s="94"/>
      <c r="P4" s="94"/>
      <c r="Q4" s="94"/>
      <c r="R4" s="94"/>
      <c r="S4" s="94"/>
      <c r="T4" s="94"/>
      <c r="U4" s="94"/>
      <c r="V4" s="94"/>
      <c r="W4" s="94"/>
      <c r="X4" s="94"/>
      <c r="Y4" s="94"/>
      <c r="Z4" s="94"/>
      <c r="AA4" s="94"/>
      <c r="AB4" s="94"/>
    </row>
    <row r="5" spans="1:28">
      <c r="A5" s="94"/>
      <c r="B5" s="94" t="s">
        <v>127</v>
      </c>
      <c r="C5" s="94"/>
      <c r="D5" s="94"/>
      <c r="E5" s="94"/>
      <c r="F5" s="94"/>
      <c r="G5" s="94"/>
      <c r="H5" s="94"/>
      <c r="I5" s="94"/>
      <c r="J5" s="94"/>
      <c r="K5" s="94"/>
      <c r="L5" s="94"/>
      <c r="M5" s="94"/>
      <c r="N5" s="94"/>
      <c r="O5" s="94"/>
      <c r="P5" s="94"/>
      <c r="Q5" s="94"/>
      <c r="R5" s="94"/>
      <c r="S5" s="94"/>
      <c r="T5" s="94"/>
      <c r="U5" s="94"/>
      <c r="V5" s="94"/>
      <c r="W5" s="94"/>
      <c r="X5" s="94"/>
      <c r="Y5" s="94"/>
      <c r="Z5" s="94"/>
      <c r="AA5" s="94"/>
      <c r="AB5" s="94"/>
    </row>
    <row r="7" spans="1:28" ht="15" thickBot="1">
      <c r="A7" s="1" t="s">
        <v>0</v>
      </c>
      <c r="B7" s="94"/>
      <c r="C7" s="94"/>
      <c r="D7" s="94"/>
      <c r="E7" s="94"/>
      <c r="F7" s="94"/>
    </row>
    <row r="8" spans="1:28" ht="15" thickBot="1">
      <c r="A8" s="94"/>
      <c r="B8" s="137" t="s">
        <v>1</v>
      </c>
      <c r="C8" s="138"/>
      <c r="D8" s="139"/>
      <c r="E8" s="85">
        <v>900</v>
      </c>
      <c r="F8" s="94"/>
    </row>
    <row r="10" spans="1:28">
      <c r="A10" s="94"/>
      <c r="B10" s="52"/>
      <c r="C10" s="86" t="s">
        <v>2</v>
      </c>
      <c r="D10" s="86" t="s">
        <v>3</v>
      </c>
      <c r="E10" s="87" t="s">
        <v>4</v>
      </c>
      <c r="F10" s="94"/>
    </row>
    <row r="11" spans="1:28" ht="43.75">
      <c r="B11" s="88" t="s">
        <v>5</v>
      </c>
      <c r="C11" s="89">
        <v>4</v>
      </c>
      <c r="D11" s="89">
        <v>3</v>
      </c>
      <c r="E11" s="90">
        <v>2</v>
      </c>
    </row>
    <row r="12" spans="1:28">
      <c r="B12" s="53" t="s">
        <v>6</v>
      </c>
      <c r="C12" s="76">
        <v>0.15</v>
      </c>
      <c r="D12" s="76">
        <v>0.3</v>
      </c>
      <c r="E12" s="91">
        <v>0.1</v>
      </c>
    </row>
    <row r="13" spans="1:28" ht="15" thickBot="1">
      <c r="B13" s="54" t="s">
        <v>7</v>
      </c>
      <c r="C13" s="92">
        <f>1-C12</f>
        <v>0.85</v>
      </c>
      <c r="D13" s="92">
        <f>1-D12</f>
        <v>0.7</v>
      </c>
      <c r="E13" s="57">
        <f>1-E12</f>
        <v>0.9</v>
      </c>
    </row>
    <row r="15" spans="1:28">
      <c r="B15" s="16"/>
      <c r="C15" s="47" t="s">
        <v>2</v>
      </c>
      <c r="D15" s="47" t="s">
        <v>3</v>
      </c>
      <c r="E15" s="47" t="s">
        <v>4</v>
      </c>
      <c r="F15" s="47" t="s">
        <v>8</v>
      </c>
    </row>
    <row r="16" spans="1:28">
      <c r="B16" s="16" t="s">
        <v>9</v>
      </c>
      <c r="C16" s="16">
        <f>(C11/9)*$E$8*C13</f>
        <v>340</v>
      </c>
      <c r="D16" s="16">
        <f t="shared" ref="D16:E16" si="0">(D11/9)*$E$8*D13</f>
        <v>210</v>
      </c>
      <c r="E16" s="16">
        <f t="shared" si="0"/>
        <v>180</v>
      </c>
      <c r="F16" s="16">
        <f>SUM(C16:E16)</f>
        <v>730</v>
      </c>
    </row>
    <row r="17" spans="1:21" ht="28" customHeight="1">
      <c r="B17" s="16" t="s">
        <v>10</v>
      </c>
      <c r="C17" s="16">
        <f>(C11/9)*$E$8*C12</f>
        <v>60</v>
      </c>
      <c r="D17" s="16">
        <f t="shared" ref="D17:E17" si="1">(D11/9)*$E$8*D12</f>
        <v>90</v>
      </c>
      <c r="E17" s="16">
        <f t="shared" si="1"/>
        <v>20</v>
      </c>
      <c r="F17" s="16">
        <f>SUM(C17:E17)</f>
        <v>170</v>
      </c>
    </row>
    <row r="18" spans="1:21">
      <c r="B18" s="16" t="s">
        <v>8</v>
      </c>
      <c r="C18" s="16">
        <f>SUM(C16:C17)</f>
        <v>400</v>
      </c>
      <c r="D18" s="16">
        <f t="shared" ref="D18:F18" si="2">SUM(D16:D17)</f>
        <v>300</v>
      </c>
      <c r="E18" s="16">
        <f t="shared" si="2"/>
        <v>200</v>
      </c>
      <c r="F18" s="16">
        <f t="shared" si="2"/>
        <v>900</v>
      </c>
    </row>
    <row r="21" spans="1:21" ht="31.5" customHeight="1"/>
    <row r="22" spans="1:21">
      <c r="A22" t="s">
        <v>11</v>
      </c>
      <c r="B22" s="140" t="s">
        <v>12</v>
      </c>
      <c r="C22" s="140"/>
      <c r="D22" s="140"/>
      <c r="E22" s="140"/>
      <c r="F22" s="140"/>
    </row>
    <row r="24" spans="1:21" ht="15" thickBot="1">
      <c r="B24" s="55" t="s">
        <v>13</v>
      </c>
      <c r="C24" s="106">
        <f>(D17/F18)/(D18/F18)</f>
        <v>0.30000000000000004</v>
      </c>
    </row>
    <row r="26" spans="1:21">
      <c r="A26" t="s">
        <v>14</v>
      </c>
      <c r="B26" s="140" t="s">
        <v>15</v>
      </c>
      <c r="C26" s="140"/>
      <c r="D26" s="140"/>
      <c r="E26" s="140"/>
      <c r="F26" s="140"/>
    </row>
    <row r="28" spans="1:21" ht="15" thickBot="1"/>
    <row r="29" spans="1:21" ht="15" thickBot="1">
      <c r="B29" s="55" t="s">
        <v>16</v>
      </c>
      <c r="C29" s="106">
        <f>(E16/F18)/(E18/F18)</f>
        <v>0.90000000000000013</v>
      </c>
    </row>
    <row r="31" spans="1:21">
      <c r="A31" s="94"/>
      <c r="B31" s="94" t="s">
        <v>128</v>
      </c>
      <c r="C31" s="94"/>
      <c r="D31" s="94"/>
      <c r="E31" s="94"/>
      <c r="F31" s="94"/>
      <c r="G31" s="94"/>
      <c r="H31" s="94"/>
      <c r="I31" s="94"/>
      <c r="J31" s="94"/>
      <c r="K31" s="94"/>
      <c r="L31" s="94"/>
      <c r="M31" s="94"/>
      <c r="N31" s="94"/>
      <c r="O31" s="94"/>
      <c r="P31" s="94"/>
      <c r="Q31" s="94"/>
      <c r="R31" s="94"/>
      <c r="S31" s="94"/>
      <c r="T31" s="94"/>
      <c r="U31" s="94"/>
    </row>
    <row r="32" spans="1:21" ht="15" thickBot="1">
      <c r="A32" s="94"/>
      <c r="B32" s="94"/>
      <c r="C32" s="94"/>
      <c r="D32" s="94"/>
      <c r="E32" s="94"/>
      <c r="F32" s="94"/>
      <c r="G32" s="94"/>
      <c r="H32" s="94"/>
      <c r="I32" s="94"/>
      <c r="J32" s="94"/>
      <c r="K32" s="94"/>
      <c r="L32" s="94"/>
      <c r="M32" s="94"/>
      <c r="N32" s="94"/>
      <c r="O32" s="94"/>
      <c r="P32" s="94"/>
      <c r="Q32" s="94"/>
      <c r="R32" s="94"/>
      <c r="S32" s="94"/>
      <c r="T32" s="94"/>
      <c r="U32" s="94"/>
    </row>
    <row r="33" spans="1:21" ht="75">
      <c r="A33" s="94"/>
      <c r="B33" s="94"/>
      <c r="C33" s="96" t="s">
        <v>129</v>
      </c>
      <c r="D33" s="97">
        <v>194</v>
      </c>
      <c r="E33" s="97">
        <v>199</v>
      </c>
      <c r="F33" s="97">
        <v>202</v>
      </c>
      <c r="G33" s="97">
        <v>210</v>
      </c>
      <c r="H33" s="97">
        <v>212</v>
      </c>
      <c r="I33" s="97">
        <v>220</v>
      </c>
      <c r="J33" s="97">
        <v>225</v>
      </c>
      <c r="K33" s="94"/>
      <c r="L33" s="94"/>
      <c r="M33" s="94"/>
      <c r="N33" s="94"/>
      <c r="O33" s="94"/>
      <c r="P33" s="94"/>
      <c r="Q33" s="94"/>
      <c r="R33" s="94"/>
      <c r="S33" s="94"/>
      <c r="T33" s="94"/>
      <c r="U33" s="94"/>
    </row>
    <row r="34" spans="1:21" ht="15.9" thickBot="1">
      <c r="A34" s="94"/>
      <c r="B34" s="94"/>
      <c r="C34" s="98"/>
      <c r="D34" s="99"/>
      <c r="E34" s="99"/>
      <c r="F34" s="99"/>
      <c r="G34" s="99"/>
      <c r="H34" s="99"/>
      <c r="I34" s="99"/>
      <c r="J34" s="99"/>
      <c r="K34" s="94"/>
      <c r="L34" s="94"/>
      <c r="M34" s="94"/>
      <c r="N34" s="94"/>
      <c r="O34" s="94"/>
      <c r="P34" s="94"/>
      <c r="Q34" s="94"/>
      <c r="R34" s="94"/>
      <c r="S34" s="94"/>
      <c r="T34" s="94"/>
      <c r="U34" s="94"/>
    </row>
    <row r="35" spans="1:21" ht="105.45" thickBot="1">
      <c r="A35" s="94"/>
      <c r="B35" s="94"/>
      <c r="C35" s="98" t="s">
        <v>130</v>
      </c>
      <c r="D35" s="100">
        <v>565</v>
      </c>
      <c r="E35" s="100">
        <v>488</v>
      </c>
      <c r="F35" s="100">
        <v>592</v>
      </c>
      <c r="G35" s="100">
        <v>612</v>
      </c>
      <c r="H35" s="100">
        <v>741</v>
      </c>
      <c r="I35" s="100">
        <v>774</v>
      </c>
      <c r="J35" s="100">
        <v>806</v>
      </c>
      <c r="K35" s="94"/>
      <c r="L35" s="94"/>
      <c r="M35" s="94"/>
      <c r="N35" s="94"/>
      <c r="O35" s="94"/>
      <c r="P35" s="94"/>
      <c r="Q35" s="94"/>
      <c r="R35" s="94"/>
      <c r="S35" s="94"/>
      <c r="T35" s="94"/>
      <c r="U35" s="94"/>
    </row>
    <row r="36" spans="1:21" ht="75.45" thickBot="1">
      <c r="A36" s="94"/>
      <c r="B36" s="94"/>
      <c r="C36" s="98" t="s">
        <v>131</v>
      </c>
      <c r="D36" s="101">
        <v>0.11799999999999999</v>
      </c>
      <c r="E36" s="101">
        <v>0.13100000000000001</v>
      </c>
      <c r="F36" s="101">
        <v>0.124</v>
      </c>
      <c r="G36" s="101">
        <v>0.14199999999999999</v>
      </c>
      <c r="H36" s="101">
        <v>0.14899999999999999</v>
      </c>
      <c r="I36" s="101">
        <v>0.13900000000000001</v>
      </c>
      <c r="J36" s="101">
        <v>0.125</v>
      </c>
      <c r="K36" s="94"/>
      <c r="L36" s="94"/>
      <c r="M36" s="94"/>
      <c r="N36" s="94"/>
      <c r="O36" s="94"/>
      <c r="P36" s="94"/>
      <c r="Q36" s="94"/>
      <c r="R36" s="94"/>
      <c r="S36" s="94"/>
      <c r="T36" s="94"/>
      <c r="U36" s="94"/>
    </row>
    <row r="37" spans="1:21" ht="30.45" thickBot="1">
      <c r="A37" s="94"/>
      <c r="B37" s="94"/>
      <c r="C37" s="98" t="s">
        <v>132</v>
      </c>
      <c r="D37" s="101">
        <v>8.2000000000000003E-2</v>
      </c>
      <c r="E37" s="102">
        <v>6.9000000000000006E-2</v>
      </c>
      <c r="F37" s="101">
        <v>7.6999999999999999E-2</v>
      </c>
      <c r="G37" s="101">
        <v>6.5000000000000002E-2</v>
      </c>
      <c r="H37" s="101">
        <v>6.2E-2</v>
      </c>
      <c r="I37" s="101">
        <v>7.0999999999999994E-2</v>
      </c>
      <c r="J37" s="101">
        <v>7.8E-2</v>
      </c>
      <c r="K37" s="94"/>
      <c r="L37" s="94"/>
      <c r="M37" s="94"/>
      <c r="N37" s="94"/>
      <c r="O37" s="94"/>
      <c r="P37" s="94"/>
      <c r="Q37" s="94"/>
      <c r="R37" s="94"/>
      <c r="S37" s="94"/>
      <c r="T37" s="94"/>
      <c r="U37" s="94"/>
    </row>
    <row r="38" spans="1:21">
      <c r="A38" s="94"/>
      <c r="B38" s="94"/>
      <c r="C38" s="94"/>
      <c r="D38" s="94"/>
      <c r="E38" s="94"/>
      <c r="F38" s="94"/>
      <c r="G38" s="94"/>
      <c r="H38" s="94"/>
      <c r="I38" s="94"/>
      <c r="J38" s="94"/>
      <c r="K38" s="94"/>
      <c r="L38" s="94"/>
      <c r="M38" s="94"/>
      <c r="N38" s="94"/>
      <c r="O38" s="94"/>
      <c r="P38" s="94"/>
      <c r="Q38" s="94"/>
      <c r="R38" s="94"/>
      <c r="S38" s="94"/>
      <c r="T38" s="94"/>
      <c r="U38" s="94"/>
    </row>
    <row r="39" spans="1:21">
      <c r="A39" s="94"/>
      <c r="B39" s="94"/>
      <c r="C39" s="94" t="s">
        <v>133</v>
      </c>
      <c r="D39" s="94"/>
      <c r="E39" s="94"/>
      <c r="F39" s="94"/>
      <c r="G39" s="94"/>
      <c r="H39" s="94"/>
      <c r="I39" s="94"/>
      <c r="J39" s="94"/>
      <c r="K39" s="94"/>
      <c r="L39" s="94"/>
      <c r="M39" s="94"/>
      <c r="N39" s="94"/>
      <c r="O39" s="94"/>
      <c r="P39" s="94"/>
      <c r="Q39" s="94"/>
      <c r="R39" s="94"/>
      <c r="S39" s="94"/>
      <c r="T39" s="94"/>
      <c r="U39" s="94"/>
    </row>
    <row r="40" spans="1:21">
      <c r="A40" s="94"/>
      <c r="B40" s="94"/>
      <c r="C40" s="94" t="s">
        <v>134</v>
      </c>
      <c r="D40" s="94"/>
      <c r="E40" s="94"/>
      <c r="F40" s="94"/>
      <c r="G40" s="94"/>
      <c r="H40" s="94"/>
      <c r="I40" s="94"/>
      <c r="J40" s="94"/>
      <c r="K40" s="94"/>
      <c r="L40" s="94"/>
      <c r="M40" s="94"/>
      <c r="N40" s="94"/>
      <c r="O40" s="94"/>
      <c r="P40" s="94"/>
      <c r="Q40" s="94"/>
      <c r="R40" s="94"/>
      <c r="S40" s="94"/>
      <c r="T40" s="94"/>
      <c r="U40" s="94"/>
    </row>
    <row r="41" spans="1:21">
      <c r="A41" s="94"/>
      <c r="B41" s="94"/>
      <c r="C41" s="94" t="s">
        <v>135</v>
      </c>
      <c r="D41" s="94"/>
      <c r="E41" s="94"/>
      <c r="F41" s="94"/>
      <c r="G41" s="94"/>
      <c r="H41" s="94"/>
      <c r="I41" s="94"/>
      <c r="J41" s="94"/>
      <c r="K41" s="94"/>
      <c r="L41" s="94"/>
      <c r="M41" s="94"/>
      <c r="N41" s="94"/>
      <c r="O41" s="94"/>
      <c r="P41" s="94"/>
      <c r="Q41" s="94"/>
      <c r="R41" s="94"/>
      <c r="S41" s="94"/>
      <c r="T41" s="94"/>
      <c r="U41" s="94"/>
    </row>
    <row r="42" spans="1:21">
      <c r="A42" s="94"/>
      <c r="B42" s="94"/>
      <c r="C42" s="94" t="s">
        <v>136</v>
      </c>
      <c r="D42" s="94"/>
      <c r="E42" s="94"/>
      <c r="F42" s="94"/>
      <c r="G42" s="94"/>
      <c r="H42" s="94"/>
      <c r="I42" s="94"/>
      <c r="J42" s="94"/>
      <c r="K42" s="94"/>
      <c r="L42" s="94"/>
      <c r="M42" s="94"/>
      <c r="N42" s="94"/>
      <c r="O42" s="94"/>
      <c r="P42" s="94"/>
      <c r="Q42" s="94"/>
      <c r="R42" s="94"/>
      <c r="S42" s="94"/>
      <c r="T42" s="94"/>
      <c r="U42" s="94"/>
    </row>
    <row r="43" spans="1:21">
      <c r="A43" s="94"/>
      <c r="B43" s="94"/>
      <c r="C43" s="94" t="s">
        <v>137</v>
      </c>
      <c r="D43" s="94"/>
      <c r="E43" s="94"/>
      <c r="F43" s="94"/>
      <c r="G43" s="94"/>
      <c r="H43" s="94"/>
      <c r="I43" s="94"/>
      <c r="J43" s="94"/>
      <c r="K43" s="94"/>
      <c r="L43" s="94"/>
      <c r="M43" s="94"/>
      <c r="N43" s="94"/>
      <c r="O43" s="94"/>
      <c r="P43" s="94"/>
      <c r="Q43" s="94"/>
      <c r="R43" s="94"/>
      <c r="S43" s="94"/>
      <c r="T43" s="94"/>
      <c r="U43" s="94"/>
    </row>
    <row r="46" spans="1:21">
      <c r="A46" s="1" t="s">
        <v>17</v>
      </c>
    </row>
    <row r="48" spans="1:21" ht="58.3">
      <c r="C48" s="46" t="s">
        <v>18</v>
      </c>
      <c r="D48" s="46" t="s">
        <v>19</v>
      </c>
      <c r="E48" s="46" t="s">
        <v>20</v>
      </c>
      <c r="F48" s="46" t="s">
        <v>21</v>
      </c>
    </row>
    <row r="49" spans="1:6">
      <c r="C49" s="46" t="s">
        <v>22</v>
      </c>
      <c r="D49" s="46" t="s">
        <v>23</v>
      </c>
      <c r="E49" s="46" t="s">
        <v>24</v>
      </c>
      <c r="F49" s="46" t="s">
        <v>25</v>
      </c>
    </row>
    <row r="50" spans="1:6">
      <c r="C50" s="47">
        <v>194</v>
      </c>
      <c r="D50" s="47">
        <v>565</v>
      </c>
      <c r="E50" s="48">
        <v>0.11799999999999999</v>
      </c>
      <c r="F50" s="48">
        <v>8.2000000000000003E-2</v>
      </c>
    </row>
    <row r="51" spans="1:6">
      <c r="C51" s="47">
        <v>199</v>
      </c>
      <c r="D51" s="47">
        <v>488</v>
      </c>
      <c r="E51" s="48">
        <v>0.13100000000000001</v>
      </c>
      <c r="F51" s="48">
        <v>6.9000000000000006E-2</v>
      </c>
    </row>
    <row r="52" spans="1:6">
      <c r="C52" s="47">
        <v>202</v>
      </c>
      <c r="D52" s="47">
        <v>592</v>
      </c>
      <c r="E52" s="48">
        <v>0.124</v>
      </c>
      <c r="F52" s="48">
        <v>7.6999999999999999E-2</v>
      </c>
    </row>
    <row r="53" spans="1:6">
      <c r="C53" s="47">
        <v>210</v>
      </c>
      <c r="D53" s="47">
        <v>612</v>
      </c>
      <c r="E53" s="48">
        <v>0.14199999999999999</v>
      </c>
      <c r="F53" s="48">
        <v>6.5000000000000002E-2</v>
      </c>
    </row>
    <row r="54" spans="1:6">
      <c r="C54" s="47">
        <v>212</v>
      </c>
      <c r="D54" s="47">
        <v>741</v>
      </c>
      <c r="E54" s="48">
        <v>0.14899999999999999</v>
      </c>
      <c r="F54" s="48">
        <v>6.2E-2</v>
      </c>
    </row>
    <row r="55" spans="1:6">
      <c r="C55" s="47">
        <v>220</v>
      </c>
      <c r="D55" s="47">
        <v>774</v>
      </c>
      <c r="E55" s="48">
        <v>0.13900000000000001</v>
      </c>
      <c r="F55" s="48">
        <v>7.0999999999999994E-2</v>
      </c>
    </row>
    <row r="56" spans="1:6">
      <c r="A56" s="1"/>
      <c r="C56" s="47">
        <v>225</v>
      </c>
      <c r="D56" s="47">
        <v>806</v>
      </c>
      <c r="E56" s="48">
        <v>0.125</v>
      </c>
      <c r="F56" s="48">
        <v>7.8E-2</v>
      </c>
    </row>
    <row r="59" spans="1:6">
      <c r="C59" t="s">
        <v>26</v>
      </c>
    </row>
    <row r="60" spans="1:6" ht="15" thickBot="1"/>
    <row r="61" spans="1:6">
      <c r="C61" s="49" t="s">
        <v>27</v>
      </c>
      <c r="D61" s="49"/>
    </row>
    <row r="62" spans="1:6">
      <c r="C62" t="s">
        <v>28</v>
      </c>
      <c r="D62">
        <v>0.94847548297494599</v>
      </c>
    </row>
    <row r="63" spans="1:6">
      <c r="C63" t="s">
        <v>29</v>
      </c>
      <c r="D63">
        <v>0.89960574180455599</v>
      </c>
    </row>
    <row r="64" spans="1:6">
      <c r="C64" t="s">
        <v>30</v>
      </c>
      <c r="D64">
        <v>0.79921148360911298</v>
      </c>
    </row>
    <row r="65" spans="3:11">
      <c r="C65" t="s">
        <v>31</v>
      </c>
      <c r="D65">
        <v>5.0459782153660901</v>
      </c>
    </row>
    <row r="66" spans="3:11" ht="15" thickBot="1">
      <c r="C66" s="50" t="s">
        <v>32</v>
      </c>
      <c r="D66" s="50">
        <v>7</v>
      </c>
    </row>
    <row r="68" spans="3:11" ht="15" thickBot="1">
      <c r="C68" t="s">
        <v>33</v>
      </c>
    </row>
    <row r="69" spans="3:11">
      <c r="C69" s="51"/>
      <c r="D69" s="51" t="s">
        <v>34</v>
      </c>
      <c r="E69" s="51" t="s">
        <v>35</v>
      </c>
      <c r="F69" s="51" t="s">
        <v>36</v>
      </c>
      <c r="G69" s="51" t="s">
        <v>37</v>
      </c>
      <c r="H69" s="51" t="s">
        <v>38</v>
      </c>
    </row>
    <row r="70" spans="3:11">
      <c r="C70" t="s">
        <v>39</v>
      </c>
      <c r="D70">
        <v>3</v>
      </c>
      <c r="E70">
        <v>684.47145440729503</v>
      </c>
      <c r="F70">
        <v>228.15715146909801</v>
      </c>
      <c r="G70">
        <v>8.9607290095539103</v>
      </c>
      <c r="H70">
        <v>5.2345474047899299E-2</v>
      </c>
    </row>
    <row r="71" spans="3:11">
      <c r="C71" t="s">
        <v>40</v>
      </c>
      <c r="D71">
        <v>3</v>
      </c>
      <c r="E71">
        <v>76.385688449847507</v>
      </c>
      <c r="F71">
        <v>25.461896149949201</v>
      </c>
    </row>
    <row r="72" spans="3:11" ht="15" thickBot="1">
      <c r="C72" s="50" t="s">
        <v>8</v>
      </c>
      <c r="D72" s="50">
        <v>6</v>
      </c>
      <c r="E72" s="50">
        <v>760.857142857143</v>
      </c>
      <c r="F72" s="50"/>
      <c r="G72" s="50"/>
      <c r="H72" s="50"/>
    </row>
    <row r="73" spans="3:11" ht="15" thickBot="1"/>
    <row r="74" spans="3:11">
      <c r="C74" s="51"/>
      <c r="D74" s="51" t="s">
        <v>41</v>
      </c>
      <c r="E74" s="51" t="s">
        <v>31</v>
      </c>
      <c r="F74" s="51" t="s">
        <v>42</v>
      </c>
      <c r="G74" s="51" t="s">
        <v>43</v>
      </c>
      <c r="H74" s="51" t="s">
        <v>44</v>
      </c>
      <c r="I74" s="51" t="s">
        <v>45</v>
      </c>
      <c r="J74" s="51" t="s">
        <v>46</v>
      </c>
      <c r="K74" s="51" t="s">
        <v>47</v>
      </c>
    </row>
    <row r="75" spans="3:11">
      <c r="C75" t="s">
        <v>48</v>
      </c>
      <c r="D75" s="104">
        <v>470.94108175495501</v>
      </c>
      <c r="E75">
        <v>257.59390569525999</v>
      </c>
      <c r="F75">
        <v>1.8282306814823801</v>
      </c>
      <c r="G75">
        <v>0.16496047654591101</v>
      </c>
      <c r="H75">
        <v>-348.837691688527</v>
      </c>
      <c r="I75">
        <v>1290.71985519844</v>
      </c>
      <c r="J75">
        <v>-348.837691688527</v>
      </c>
      <c r="K75">
        <v>1290.71985519844</v>
      </c>
    </row>
    <row r="76" spans="3:11">
      <c r="C76" t="s">
        <v>49</v>
      </c>
      <c r="D76" s="104">
        <v>0.117624778722146</v>
      </c>
      <c r="E76">
        <v>3.2785179187027398E-2</v>
      </c>
      <c r="F76">
        <v>3.58774243847013</v>
      </c>
      <c r="G76">
        <v>3.7082344521230999E-2</v>
      </c>
      <c r="H76">
        <v>1.3287706350326001E-2</v>
      </c>
      <c r="I76">
        <v>0.22196185109396599</v>
      </c>
      <c r="J76">
        <v>1.3287706350326001E-2</v>
      </c>
      <c r="K76">
        <v>0.22196185109396599</v>
      </c>
    </row>
    <row r="77" spans="3:11">
      <c r="C77" t="s">
        <v>50</v>
      </c>
      <c r="D77" s="104">
        <v>-1380.6580800550801</v>
      </c>
      <c r="E77">
        <v>1169.7418293035</v>
      </c>
      <c r="F77">
        <v>-1.1803100867797101</v>
      </c>
      <c r="G77">
        <v>0.32294080488402899</v>
      </c>
      <c r="H77">
        <v>-5103.2986428578197</v>
      </c>
      <c r="I77">
        <v>2341.98248274767</v>
      </c>
      <c r="J77">
        <v>-5103.2986428578197</v>
      </c>
      <c r="K77">
        <v>2341.98248274767</v>
      </c>
    </row>
    <row r="78" spans="3:11" ht="15" thickBot="1">
      <c r="C78" s="50" t="s">
        <v>51</v>
      </c>
      <c r="D78" s="105">
        <v>-2166.31569639595</v>
      </c>
      <c r="E78" s="50">
        <v>1685.09178271064</v>
      </c>
      <c r="F78" s="50">
        <v>-1.28557727159004</v>
      </c>
      <c r="G78" s="50">
        <v>0.28884038456807898</v>
      </c>
      <c r="H78" s="50">
        <v>-7529.0298143473701</v>
      </c>
      <c r="I78" s="50">
        <v>3196.3984215554801</v>
      </c>
      <c r="J78" s="50">
        <v>-7529.0298143473701</v>
      </c>
      <c r="K78" s="50">
        <v>3196.3984215554801</v>
      </c>
    </row>
    <row r="80" spans="3:11" ht="15" thickBot="1"/>
    <row r="81" spans="2:16" ht="15" thickBot="1">
      <c r="B81" s="45" t="s">
        <v>52</v>
      </c>
      <c r="C81" s="141" t="s">
        <v>53</v>
      </c>
      <c r="D81" s="142"/>
      <c r="E81" s="143"/>
    </row>
    <row r="82" spans="2:16" ht="15" thickBot="1"/>
    <row r="83" spans="2:16">
      <c r="C83" s="52" t="s">
        <v>54</v>
      </c>
      <c r="D83" s="18">
        <v>0.117624778722146</v>
      </c>
    </row>
    <row r="84" spans="2:16">
      <c r="C84" s="53" t="s">
        <v>55</v>
      </c>
      <c r="D84" s="20">
        <v>-1380.6580800550801</v>
      </c>
    </row>
    <row r="85" spans="2:16" ht="15" thickBot="1">
      <c r="C85" s="54" t="s">
        <v>56</v>
      </c>
      <c r="D85" s="40">
        <v>-2166.31569639595</v>
      </c>
    </row>
    <row r="86" spans="2:16" ht="15" thickBot="1"/>
    <row r="87" spans="2:16" ht="15" thickBot="1">
      <c r="C87" s="55" t="s">
        <v>57</v>
      </c>
      <c r="D87" s="56">
        <v>0.94840000000000002</v>
      </c>
      <c r="F87" s="141" t="s">
        <v>58</v>
      </c>
      <c r="G87" s="142"/>
      <c r="H87" s="142"/>
      <c r="I87" s="142"/>
      <c r="J87" s="142"/>
      <c r="K87" s="142"/>
      <c r="L87" s="142"/>
      <c r="M87" s="142"/>
      <c r="N87" s="142"/>
      <c r="O87" s="142"/>
      <c r="P87" s="143"/>
    </row>
    <row r="89" spans="2:16">
      <c r="C89" s="52" t="s">
        <v>22</v>
      </c>
      <c r="D89" s="18">
        <v>250</v>
      </c>
    </row>
    <row r="90" spans="2:16">
      <c r="C90" s="53" t="s">
        <v>23</v>
      </c>
      <c r="D90" s="20">
        <v>900</v>
      </c>
    </row>
    <row r="91" spans="2:16" ht="15" thickBot="1">
      <c r="C91" s="54" t="s">
        <v>24</v>
      </c>
      <c r="D91" s="57">
        <v>0.1</v>
      </c>
    </row>
    <row r="94" spans="2:16" ht="15" thickBot="1">
      <c r="C94" s="55" t="s">
        <v>25</v>
      </c>
      <c r="D94" s="103">
        <f>(D89-(D90*D83)-(D91*D84))/D85</f>
        <v>-0.13026887430353395</v>
      </c>
    </row>
  </sheetData>
  <mergeCells count="5">
    <mergeCell ref="B8:D8"/>
    <mergeCell ref="B22:F22"/>
    <mergeCell ref="B26:F26"/>
    <mergeCell ref="C81:E81"/>
    <mergeCell ref="F87:P87"/>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EM66"/>
  <sheetViews>
    <sheetView workbookViewId="0">
      <selection activeCell="M24" sqref="M24"/>
    </sheetView>
  </sheetViews>
  <sheetFormatPr defaultColWidth="9" defaultRowHeight="14.6"/>
  <cols>
    <col min="2" max="2" width="11.3046875" customWidth="1"/>
    <col min="3" max="3" width="14.3046875" customWidth="1"/>
    <col min="4" max="4" width="34.15234375" bestFit="1" customWidth="1"/>
    <col min="5" max="5" width="11.84375" customWidth="1"/>
    <col min="7" max="7" width="12.84375" customWidth="1"/>
    <col min="8" max="8" width="10.4609375" customWidth="1"/>
    <col min="9" max="9" width="15.3046875" customWidth="1"/>
  </cols>
  <sheetData>
    <row r="1" spans="2:1007 1026:2031 2050:3055 3074:4079 4098:5103 5122:6127 6146:7151 7170:8175 8194:9199 9218:10223 10242:11247 11266:12271 12290:13295 13314:14319 14338:15343 15362:16367" s="94" customFormat="1"/>
    <row r="2" spans="2:1007 1026:2031 2050:3055 3074:4079 4098:5103 5122:6127 6146:7151 7170:8175 8194:9199 9218:10223 10242:11247 11266:12271 12290:13295 13314:14319 14338:15343 15362:16367" s="94" customFormat="1">
      <c r="B2" s="94" t="s">
        <v>124</v>
      </c>
      <c r="AH2" s="94" t="s">
        <v>124</v>
      </c>
      <c r="BN2" s="94" t="s">
        <v>124</v>
      </c>
      <c r="CT2" s="94" t="s">
        <v>124</v>
      </c>
      <c r="DZ2" s="94" t="s">
        <v>124</v>
      </c>
      <c r="FF2" s="94" t="s">
        <v>124</v>
      </c>
      <c r="GL2" s="94" t="s">
        <v>124</v>
      </c>
      <c r="HR2" s="94" t="s">
        <v>124</v>
      </c>
      <c r="IX2" s="94" t="s">
        <v>124</v>
      </c>
      <c r="KD2" s="94" t="s">
        <v>124</v>
      </c>
      <c r="LJ2" s="94" t="s">
        <v>124</v>
      </c>
      <c r="MP2" s="94" t="s">
        <v>124</v>
      </c>
      <c r="NV2" s="94" t="s">
        <v>124</v>
      </c>
      <c r="PB2" s="94" t="s">
        <v>124</v>
      </c>
      <c r="QH2" s="94" t="s">
        <v>124</v>
      </c>
      <c r="RN2" s="94" t="s">
        <v>124</v>
      </c>
      <c r="ST2" s="94" t="s">
        <v>124</v>
      </c>
      <c r="TZ2" s="94" t="s">
        <v>124</v>
      </c>
      <c r="VF2" s="94" t="s">
        <v>124</v>
      </c>
      <c r="WL2" s="94" t="s">
        <v>124</v>
      </c>
      <c r="XR2" s="94" t="s">
        <v>124</v>
      </c>
      <c r="YX2" s="94" t="s">
        <v>124</v>
      </c>
      <c r="AAD2" s="94" t="s">
        <v>124</v>
      </c>
      <c r="ABJ2" s="94" t="s">
        <v>124</v>
      </c>
      <c r="ACP2" s="94" t="s">
        <v>124</v>
      </c>
      <c r="ADV2" s="94" t="s">
        <v>124</v>
      </c>
      <c r="AFB2" s="94" t="s">
        <v>124</v>
      </c>
      <c r="AGH2" s="94" t="s">
        <v>124</v>
      </c>
      <c r="AHN2" s="94" t="s">
        <v>124</v>
      </c>
      <c r="AIT2" s="94" t="s">
        <v>124</v>
      </c>
      <c r="AJZ2" s="94" t="s">
        <v>124</v>
      </c>
      <c r="ALF2" s="94" t="s">
        <v>124</v>
      </c>
      <c r="AML2" s="94" t="s">
        <v>124</v>
      </c>
      <c r="ANR2" s="94" t="s">
        <v>124</v>
      </c>
      <c r="AOX2" s="94" t="s">
        <v>124</v>
      </c>
      <c r="AQD2" s="94" t="s">
        <v>124</v>
      </c>
      <c r="ARJ2" s="94" t="s">
        <v>124</v>
      </c>
      <c r="ASP2" s="94" t="s">
        <v>124</v>
      </c>
      <c r="ATV2" s="94" t="s">
        <v>124</v>
      </c>
      <c r="AVB2" s="94" t="s">
        <v>124</v>
      </c>
      <c r="AWH2" s="94" t="s">
        <v>124</v>
      </c>
      <c r="AXN2" s="94" t="s">
        <v>124</v>
      </c>
      <c r="AYT2" s="94" t="s">
        <v>124</v>
      </c>
      <c r="AZZ2" s="94" t="s">
        <v>124</v>
      </c>
      <c r="BBF2" s="94" t="s">
        <v>124</v>
      </c>
      <c r="BCL2" s="94" t="s">
        <v>124</v>
      </c>
      <c r="BDR2" s="94" t="s">
        <v>124</v>
      </c>
      <c r="BEX2" s="94" t="s">
        <v>124</v>
      </c>
      <c r="BGD2" s="94" t="s">
        <v>124</v>
      </c>
      <c r="BHJ2" s="94" t="s">
        <v>124</v>
      </c>
      <c r="BIP2" s="94" t="s">
        <v>124</v>
      </c>
      <c r="BJV2" s="94" t="s">
        <v>124</v>
      </c>
      <c r="BLB2" s="94" t="s">
        <v>124</v>
      </c>
      <c r="BMH2" s="94" t="s">
        <v>124</v>
      </c>
      <c r="BNN2" s="94" t="s">
        <v>124</v>
      </c>
      <c r="BOT2" s="94" t="s">
        <v>124</v>
      </c>
      <c r="BPZ2" s="94" t="s">
        <v>124</v>
      </c>
      <c r="BRF2" s="94" t="s">
        <v>124</v>
      </c>
      <c r="BSL2" s="94" t="s">
        <v>124</v>
      </c>
      <c r="BTR2" s="94" t="s">
        <v>124</v>
      </c>
      <c r="BUX2" s="94" t="s">
        <v>124</v>
      </c>
      <c r="BWD2" s="94" t="s">
        <v>124</v>
      </c>
      <c r="BXJ2" s="94" t="s">
        <v>124</v>
      </c>
      <c r="BYP2" s="94" t="s">
        <v>124</v>
      </c>
      <c r="BZV2" s="94" t="s">
        <v>124</v>
      </c>
      <c r="CBB2" s="94" t="s">
        <v>124</v>
      </c>
      <c r="CCH2" s="94" t="s">
        <v>124</v>
      </c>
      <c r="CDN2" s="94" t="s">
        <v>124</v>
      </c>
      <c r="CET2" s="94" t="s">
        <v>124</v>
      </c>
      <c r="CFZ2" s="94" t="s">
        <v>124</v>
      </c>
      <c r="CHF2" s="94" t="s">
        <v>124</v>
      </c>
      <c r="CIL2" s="94" t="s">
        <v>124</v>
      </c>
      <c r="CJR2" s="94" t="s">
        <v>124</v>
      </c>
      <c r="CKX2" s="94" t="s">
        <v>124</v>
      </c>
      <c r="CMD2" s="94" t="s">
        <v>124</v>
      </c>
      <c r="CNJ2" s="94" t="s">
        <v>124</v>
      </c>
      <c r="COP2" s="94" t="s">
        <v>124</v>
      </c>
      <c r="CPV2" s="94" t="s">
        <v>124</v>
      </c>
      <c r="CRB2" s="94" t="s">
        <v>124</v>
      </c>
      <c r="CSH2" s="94" t="s">
        <v>124</v>
      </c>
      <c r="CTN2" s="94" t="s">
        <v>124</v>
      </c>
      <c r="CUT2" s="94" t="s">
        <v>124</v>
      </c>
      <c r="CVZ2" s="94" t="s">
        <v>124</v>
      </c>
      <c r="CXF2" s="94" t="s">
        <v>124</v>
      </c>
      <c r="CYL2" s="94" t="s">
        <v>124</v>
      </c>
      <c r="CZR2" s="94" t="s">
        <v>124</v>
      </c>
      <c r="DAX2" s="94" t="s">
        <v>124</v>
      </c>
      <c r="DCD2" s="94" t="s">
        <v>124</v>
      </c>
      <c r="DDJ2" s="94" t="s">
        <v>124</v>
      </c>
      <c r="DEP2" s="94" t="s">
        <v>124</v>
      </c>
      <c r="DFV2" s="94" t="s">
        <v>124</v>
      </c>
      <c r="DHB2" s="94" t="s">
        <v>124</v>
      </c>
      <c r="DIH2" s="94" t="s">
        <v>124</v>
      </c>
      <c r="DJN2" s="94" t="s">
        <v>124</v>
      </c>
      <c r="DKT2" s="94" t="s">
        <v>124</v>
      </c>
      <c r="DLZ2" s="94" t="s">
        <v>124</v>
      </c>
      <c r="DNF2" s="94" t="s">
        <v>124</v>
      </c>
      <c r="DOL2" s="94" t="s">
        <v>124</v>
      </c>
      <c r="DPR2" s="94" t="s">
        <v>124</v>
      </c>
      <c r="DQX2" s="94" t="s">
        <v>124</v>
      </c>
      <c r="DSD2" s="94" t="s">
        <v>124</v>
      </c>
      <c r="DTJ2" s="94" t="s">
        <v>124</v>
      </c>
      <c r="DUP2" s="94" t="s">
        <v>124</v>
      </c>
      <c r="DVV2" s="94" t="s">
        <v>124</v>
      </c>
      <c r="DXB2" s="94" t="s">
        <v>124</v>
      </c>
      <c r="DYH2" s="94" t="s">
        <v>124</v>
      </c>
      <c r="DZN2" s="94" t="s">
        <v>124</v>
      </c>
      <c r="EAT2" s="94" t="s">
        <v>124</v>
      </c>
      <c r="EBZ2" s="94" t="s">
        <v>124</v>
      </c>
      <c r="EDF2" s="94" t="s">
        <v>124</v>
      </c>
      <c r="EEL2" s="94" t="s">
        <v>124</v>
      </c>
      <c r="EFR2" s="94" t="s">
        <v>124</v>
      </c>
      <c r="EGX2" s="94" t="s">
        <v>124</v>
      </c>
      <c r="EID2" s="94" t="s">
        <v>124</v>
      </c>
      <c r="EJJ2" s="94" t="s">
        <v>124</v>
      </c>
      <c r="EKP2" s="94" t="s">
        <v>124</v>
      </c>
      <c r="ELV2" s="94" t="s">
        <v>124</v>
      </c>
      <c r="ENB2" s="94" t="s">
        <v>124</v>
      </c>
      <c r="EOH2" s="94" t="s">
        <v>124</v>
      </c>
      <c r="EPN2" s="94" t="s">
        <v>124</v>
      </c>
      <c r="EQT2" s="94" t="s">
        <v>124</v>
      </c>
      <c r="ERZ2" s="94" t="s">
        <v>124</v>
      </c>
      <c r="ETF2" s="94" t="s">
        <v>124</v>
      </c>
      <c r="EUL2" s="94" t="s">
        <v>124</v>
      </c>
      <c r="EVR2" s="94" t="s">
        <v>124</v>
      </c>
      <c r="EWX2" s="94" t="s">
        <v>124</v>
      </c>
      <c r="EYD2" s="94" t="s">
        <v>124</v>
      </c>
      <c r="EZJ2" s="94" t="s">
        <v>124</v>
      </c>
      <c r="FAP2" s="94" t="s">
        <v>124</v>
      </c>
      <c r="FBV2" s="94" t="s">
        <v>124</v>
      </c>
      <c r="FDB2" s="94" t="s">
        <v>124</v>
      </c>
      <c r="FEH2" s="94" t="s">
        <v>124</v>
      </c>
      <c r="FFN2" s="94" t="s">
        <v>124</v>
      </c>
      <c r="FGT2" s="94" t="s">
        <v>124</v>
      </c>
      <c r="FHZ2" s="94" t="s">
        <v>124</v>
      </c>
      <c r="FJF2" s="94" t="s">
        <v>124</v>
      </c>
      <c r="FKL2" s="94" t="s">
        <v>124</v>
      </c>
      <c r="FLR2" s="94" t="s">
        <v>124</v>
      </c>
      <c r="FMX2" s="94" t="s">
        <v>124</v>
      </c>
      <c r="FOD2" s="94" t="s">
        <v>124</v>
      </c>
      <c r="FPJ2" s="94" t="s">
        <v>124</v>
      </c>
      <c r="FQP2" s="94" t="s">
        <v>124</v>
      </c>
      <c r="FRV2" s="94" t="s">
        <v>124</v>
      </c>
      <c r="FTB2" s="94" t="s">
        <v>124</v>
      </c>
      <c r="FUH2" s="94" t="s">
        <v>124</v>
      </c>
      <c r="FVN2" s="94" t="s">
        <v>124</v>
      </c>
      <c r="FWT2" s="94" t="s">
        <v>124</v>
      </c>
      <c r="FXZ2" s="94" t="s">
        <v>124</v>
      </c>
      <c r="FZF2" s="94" t="s">
        <v>124</v>
      </c>
      <c r="GAL2" s="94" t="s">
        <v>124</v>
      </c>
      <c r="GBR2" s="94" t="s">
        <v>124</v>
      </c>
      <c r="GCX2" s="94" t="s">
        <v>124</v>
      </c>
      <c r="GED2" s="94" t="s">
        <v>124</v>
      </c>
      <c r="GFJ2" s="94" t="s">
        <v>124</v>
      </c>
      <c r="GGP2" s="94" t="s">
        <v>124</v>
      </c>
      <c r="GHV2" s="94" t="s">
        <v>124</v>
      </c>
      <c r="GJB2" s="94" t="s">
        <v>124</v>
      </c>
      <c r="GKH2" s="94" t="s">
        <v>124</v>
      </c>
      <c r="GLN2" s="94" t="s">
        <v>124</v>
      </c>
      <c r="GMT2" s="94" t="s">
        <v>124</v>
      </c>
      <c r="GNZ2" s="94" t="s">
        <v>124</v>
      </c>
      <c r="GPF2" s="94" t="s">
        <v>124</v>
      </c>
      <c r="GQL2" s="94" t="s">
        <v>124</v>
      </c>
      <c r="GRR2" s="94" t="s">
        <v>124</v>
      </c>
      <c r="GSX2" s="94" t="s">
        <v>124</v>
      </c>
      <c r="GUD2" s="94" t="s">
        <v>124</v>
      </c>
      <c r="GVJ2" s="94" t="s">
        <v>124</v>
      </c>
      <c r="GWP2" s="94" t="s">
        <v>124</v>
      </c>
      <c r="GXV2" s="94" t="s">
        <v>124</v>
      </c>
      <c r="GZB2" s="94" t="s">
        <v>124</v>
      </c>
      <c r="HAH2" s="94" t="s">
        <v>124</v>
      </c>
      <c r="HBN2" s="94" t="s">
        <v>124</v>
      </c>
      <c r="HCT2" s="94" t="s">
        <v>124</v>
      </c>
      <c r="HDZ2" s="94" t="s">
        <v>124</v>
      </c>
      <c r="HFF2" s="94" t="s">
        <v>124</v>
      </c>
      <c r="HGL2" s="94" t="s">
        <v>124</v>
      </c>
      <c r="HHR2" s="94" t="s">
        <v>124</v>
      </c>
      <c r="HIX2" s="94" t="s">
        <v>124</v>
      </c>
      <c r="HKD2" s="94" t="s">
        <v>124</v>
      </c>
      <c r="HLJ2" s="94" t="s">
        <v>124</v>
      </c>
      <c r="HMP2" s="94" t="s">
        <v>124</v>
      </c>
      <c r="HNV2" s="94" t="s">
        <v>124</v>
      </c>
      <c r="HPB2" s="94" t="s">
        <v>124</v>
      </c>
      <c r="HQH2" s="94" t="s">
        <v>124</v>
      </c>
      <c r="HRN2" s="94" t="s">
        <v>124</v>
      </c>
      <c r="HST2" s="94" t="s">
        <v>124</v>
      </c>
      <c r="HTZ2" s="94" t="s">
        <v>124</v>
      </c>
      <c r="HVF2" s="94" t="s">
        <v>124</v>
      </c>
      <c r="HWL2" s="94" t="s">
        <v>124</v>
      </c>
      <c r="HXR2" s="94" t="s">
        <v>124</v>
      </c>
      <c r="HYX2" s="94" t="s">
        <v>124</v>
      </c>
      <c r="IAD2" s="94" t="s">
        <v>124</v>
      </c>
      <c r="IBJ2" s="94" t="s">
        <v>124</v>
      </c>
      <c r="ICP2" s="94" t="s">
        <v>124</v>
      </c>
      <c r="IDV2" s="94" t="s">
        <v>124</v>
      </c>
      <c r="IFB2" s="94" t="s">
        <v>124</v>
      </c>
      <c r="IGH2" s="94" t="s">
        <v>124</v>
      </c>
      <c r="IHN2" s="94" t="s">
        <v>124</v>
      </c>
      <c r="IIT2" s="94" t="s">
        <v>124</v>
      </c>
      <c r="IJZ2" s="94" t="s">
        <v>124</v>
      </c>
      <c r="ILF2" s="94" t="s">
        <v>124</v>
      </c>
      <c r="IML2" s="94" t="s">
        <v>124</v>
      </c>
      <c r="INR2" s="94" t="s">
        <v>124</v>
      </c>
      <c r="IOX2" s="94" t="s">
        <v>124</v>
      </c>
      <c r="IQD2" s="94" t="s">
        <v>124</v>
      </c>
      <c r="IRJ2" s="94" t="s">
        <v>124</v>
      </c>
      <c r="ISP2" s="94" t="s">
        <v>124</v>
      </c>
      <c r="ITV2" s="94" t="s">
        <v>124</v>
      </c>
      <c r="IVB2" s="94" t="s">
        <v>124</v>
      </c>
      <c r="IWH2" s="94" t="s">
        <v>124</v>
      </c>
      <c r="IXN2" s="94" t="s">
        <v>124</v>
      </c>
      <c r="IYT2" s="94" t="s">
        <v>124</v>
      </c>
      <c r="IZZ2" s="94" t="s">
        <v>124</v>
      </c>
      <c r="JBF2" s="94" t="s">
        <v>124</v>
      </c>
      <c r="JCL2" s="94" t="s">
        <v>124</v>
      </c>
      <c r="JDR2" s="94" t="s">
        <v>124</v>
      </c>
      <c r="JEX2" s="94" t="s">
        <v>124</v>
      </c>
      <c r="JGD2" s="94" t="s">
        <v>124</v>
      </c>
      <c r="JHJ2" s="94" t="s">
        <v>124</v>
      </c>
      <c r="JIP2" s="94" t="s">
        <v>124</v>
      </c>
      <c r="JJV2" s="94" t="s">
        <v>124</v>
      </c>
      <c r="JLB2" s="94" t="s">
        <v>124</v>
      </c>
      <c r="JMH2" s="94" t="s">
        <v>124</v>
      </c>
      <c r="JNN2" s="94" t="s">
        <v>124</v>
      </c>
      <c r="JOT2" s="94" t="s">
        <v>124</v>
      </c>
      <c r="JPZ2" s="94" t="s">
        <v>124</v>
      </c>
      <c r="JRF2" s="94" t="s">
        <v>124</v>
      </c>
      <c r="JSL2" s="94" t="s">
        <v>124</v>
      </c>
      <c r="JTR2" s="94" t="s">
        <v>124</v>
      </c>
      <c r="JUX2" s="94" t="s">
        <v>124</v>
      </c>
      <c r="JWD2" s="94" t="s">
        <v>124</v>
      </c>
      <c r="JXJ2" s="94" t="s">
        <v>124</v>
      </c>
      <c r="JYP2" s="94" t="s">
        <v>124</v>
      </c>
      <c r="JZV2" s="94" t="s">
        <v>124</v>
      </c>
      <c r="KBB2" s="94" t="s">
        <v>124</v>
      </c>
      <c r="KCH2" s="94" t="s">
        <v>124</v>
      </c>
      <c r="KDN2" s="94" t="s">
        <v>124</v>
      </c>
      <c r="KET2" s="94" t="s">
        <v>124</v>
      </c>
      <c r="KFZ2" s="94" t="s">
        <v>124</v>
      </c>
      <c r="KHF2" s="94" t="s">
        <v>124</v>
      </c>
      <c r="KIL2" s="94" t="s">
        <v>124</v>
      </c>
      <c r="KJR2" s="94" t="s">
        <v>124</v>
      </c>
      <c r="KKX2" s="94" t="s">
        <v>124</v>
      </c>
      <c r="KMD2" s="94" t="s">
        <v>124</v>
      </c>
      <c r="KNJ2" s="94" t="s">
        <v>124</v>
      </c>
      <c r="KOP2" s="94" t="s">
        <v>124</v>
      </c>
      <c r="KPV2" s="94" t="s">
        <v>124</v>
      </c>
      <c r="KRB2" s="94" t="s">
        <v>124</v>
      </c>
      <c r="KSH2" s="94" t="s">
        <v>124</v>
      </c>
      <c r="KTN2" s="94" t="s">
        <v>124</v>
      </c>
      <c r="KUT2" s="94" t="s">
        <v>124</v>
      </c>
      <c r="KVZ2" s="94" t="s">
        <v>124</v>
      </c>
      <c r="KXF2" s="94" t="s">
        <v>124</v>
      </c>
      <c r="KYL2" s="94" t="s">
        <v>124</v>
      </c>
      <c r="KZR2" s="94" t="s">
        <v>124</v>
      </c>
      <c r="LAX2" s="94" t="s">
        <v>124</v>
      </c>
      <c r="LCD2" s="94" t="s">
        <v>124</v>
      </c>
      <c r="LDJ2" s="94" t="s">
        <v>124</v>
      </c>
      <c r="LEP2" s="94" t="s">
        <v>124</v>
      </c>
      <c r="LFV2" s="94" t="s">
        <v>124</v>
      </c>
      <c r="LHB2" s="94" t="s">
        <v>124</v>
      </c>
      <c r="LIH2" s="94" t="s">
        <v>124</v>
      </c>
      <c r="LJN2" s="94" t="s">
        <v>124</v>
      </c>
      <c r="LKT2" s="94" t="s">
        <v>124</v>
      </c>
      <c r="LLZ2" s="94" t="s">
        <v>124</v>
      </c>
      <c r="LNF2" s="94" t="s">
        <v>124</v>
      </c>
      <c r="LOL2" s="94" t="s">
        <v>124</v>
      </c>
      <c r="LPR2" s="94" t="s">
        <v>124</v>
      </c>
      <c r="LQX2" s="94" t="s">
        <v>124</v>
      </c>
      <c r="LSD2" s="94" t="s">
        <v>124</v>
      </c>
      <c r="LTJ2" s="94" t="s">
        <v>124</v>
      </c>
      <c r="LUP2" s="94" t="s">
        <v>124</v>
      </c>
      <c r="LVV2" s="94" t="s">
        <v>124</v>
      </c>
      <c r="LXB2" s="94" t="s">
        <v>124</v>
      </c>
      <c r="LYH2" s="94" t="s">
        <v>124</v>
      </c>
      <c r="LZN2" s="94" t="s">
        <v>124</v>
      </c>
      <c r="MAT2" s="94" t="s">
        <v>124</v>
      </c>
      <c r="MBZ2" s="94" t="s">
        <v>124</v>
      </c>
      <c r="MDF2" s="94" t="s">
        <v>124</v>
      </c>
      <c r="MEL2" s="94" t="s">
        <v>124</v>
      </c>
      <c r="MFR2" s="94" t="s">
        <v>124</v>
      </c>
      <c r="MGX2" s="94" t="s">
        <v>124</v>
      </c>
      <c r="MID2" s="94" t="s">
        <v>124</v>
      </c>
      <c r="MJJ2" s="94" t="s">
        <v>124</v>
      </c>
      <c r="MKP2" s="94" t="s">
        <v>124</v>
      </c>
      <c r="MLV2" s="94" t="s">
        <v>124</v>
      </c>
      <c r="MNB2" s="94" t="s">
        <v>124</v>
      </c>
      <c r="MOH2" s="94" t="s">
        <v>124</v>
      </c>
      <c r="MPN2" s="94" t="s">
        <v>124</v>
      </c>
      <c r="MQT2" s="94" t="s">
        <v>124</v>
      </c>
      <c r="MRZ2" s="94" t="s">
        <v>124</v>
      </c>
      <c r="MTF2" s="94" t="s">
        <v>124</v>
      </c>
      <c r="MUL2" s="94" t="s">
        <v>124</v>
      </c>
      <c r="MVR2" s="94" t="s">
        <v>124</v>
      </c>
      <c r="MWX2" s="94" t="s">
        <v>124</v>
      </c>
      <c r="MYD2" s="94" t="s">
        <v>124</v>
      </c>
      <c r="MZJ2" s="94" t="s">
        <v>124</v>
      </c>
      <c r="NAP2" s="94" t="s">
        <v>124</v>
      </c>
      <c r="NBV2" s="94" t="s">
        <v>124</v>
      </c>
      <c r="NDB2" s="94" t="s">
        <v>124</v>
      </c>
      <c r="NEH2" s="94" t="s">
        <v>124</v>
      </c>
      <c r="NFN2" s="94" t="s">
        <v>124</v>
      </c>
      <c r="NGT2" s="94" t="s">
        <v>124</v>
      </c>
      <c r="NHZ2" s="94" t="s">
        <v>124</v>
      </c>
      <c r="NJF2" s="94" t="s">
        <v>124</v>
      </c>
      <c r="NKL2" s="94" t="s">
        <v>124</v>
      </c>
      <c r="NLR2" s="94" t="s">
        <v>124</v>
      </c>
      <c r="NMX2" s="94" t="s">
        <v>124</v>
      </c>
      <c r="NOD2" s="94" t="s">
        <v>124</v>
      </c>
      <c r="NPJ2" s="94" t="s">
        <v>124</v>
      </c>
      <c r="NQP2" s="94" t="s">
        <v>124</v>
      </c>
      <c r="NRV2" s="94" t="s">
        <v>124</v>
      </c>
      <c r="NTB2" s="94" t="s">
        <v>124</v>
      </c>
      <c r="NUH2" s="94" t="s">
        <v>124</v>
      </c>
      <c r="NVN2" s="94" t="s">
        <v>124</v>
      </c>
      <c r="NWT2" s="94" t="s">
        <v>124</v>
      </c>
      <c r="NXZ2" s="94" t="s">
        <v>124</v>
      </c>
      <c r="NZF2" s="94" t="s">
        <v>124</v>
      </c>
      <c r="OAL2" s="94" t="s">
        <v>124</v>
      </c>
      <c r="OBR2" s="94" t="s">
        <v>124</v>
      </c>
      <c r="OCX2" s="94" t="s">
        <v>124</v>
      </c>
      <c r="OED2" s="94" t="s">
        <v>124</v>
      </c>
      <c r="OFJ2" s="94" t="s">
        <v>124</v>
      </c>
      <c r="OGP2" s="94" t="s">
        <v>124</v>
      </c>
      <c r="OHV2" s="94" t="s">
        <v>124</v>
      </c>
      <c r="OJB2" s="94" t="s">
        <v>124</v>
      </c>
      <c r="OKH2" s="94" t="s">
        <v>124</v>
      </c>
      <c r="OLN2" s="94" t="s">
        <v>124</v>
      </c>
      <c r="OMT2" s="94" t="s">
        <v>124</v>
      </c>
      <c r="ONZ2" s="94" t="s">
        <v>124</v>
      </c>
      <c r="OPF2" s="94" t="s">
        <v>124</v>
      </c>
      <c r="OQL2" s="94" t="s">
        <v>124</v>
      </c>
      <c r="ORR2" s="94" t="s">
        <v>124</v>
      </c>
      <c r="OSX2" s="94" t="s">
        <v>124</v>
      </c>
      <c r="OUD2" s="94" t="s">
        <v>124</v>
      </c>
      <c r="OVJ2" s="94" t="s">
        <v>124</v>
      </c>
      <c r="OWP2" s="94" t="s">
        <v>124</v>
      </c>
      <c r="OXV2" s="94" t="s">
        <v>124</v>
      </c>
      <c r="OZB2" s="94" t="s">
        <v>124</v>
      </c>
      <c r="PAH2" s="94" t="s">
        <v>124</v>
      </c>
      <c r="PBN2" s="94" t="s">
        <v>124</v>
      </c>
      <c r="PCT2" s="94" t="s">
        <v>124</v>
      </c>
      <c r="PDZ2" s="94" t="s">
        <v>124</v>
      </c>
      <c r="PFF2" s="94" t="s">
        <v>124</v>
      </c>
      <c r="PGL2" s="94" t="s">
        <v>124</v>
      </c>
      <c r="PHR2" s="94" t="s">
        <v>124</v>
      </c>
      <c r="PIX2" s="94" t="s">
        <v>124</v>
      </c>
      <c r="PKD2" s="94" t="s">
        <v>124</v>
      </c>
      <c r="PLJ2" s="94" t="s">
        <v>124</v>
      </c>
      <c r="PMP2" s="94" t="s">
        <v>124</v>
      </c>
      <c r="PNV2" s="94" t="s">
        <v>124</v>
      </c>
      <c r="PPB2" s="94" t="s">
        <v>124</v>
      </c>
      <c r="PQH2" s="94" t="s">
        <v>124</v>
      </c>
      <c r="PRN2" s="94" t="s">
        <v>124</v>
      </c>
      <c r="PST2" s="94" t="s">
        <v>124</v>
      </c>
      <c r="PTZ2" s="94" t="s">
        <v>124</v>
      </c>
      <c r="PVF2" s="94" t="s">
        <v>124</v>
      </c>
      <c r="PWL2" s="94" t="s">
        <v>124</v>
      </c>
      <c r="PXR2" s="94" t="s">
        <v>124</v>
      </c>
      <c r="PYX2" s="94" t="s">
        <v>124</v>
      </c>
      <c r="QAD2" s="94" t="s">
        <v>124</v>
      </c>
      <c r="QBJ2" s="94" t="s">
        <v>124</v>
      </c>
      <c r="QCP2" s="94" t="s">
        <v>124</v>
      </c>
      <c r="QDV2" s="94" t="s">
        <v>124</v>
      </c>
      <c r="QFB2" s="94" t="s">
        <v>124</v>
      </c>
      <c r="QGH2" s="94" t="s">
        <v>124</v>
      </c>
      <c r="QHN2" s="94" t="s">
        <v>124</v>
      </c>
      <c r="QIT2" s="94" t="s">
        <v>124</v>
      </c>
      <c r="QJZ2" s="94" t="s">
        <v>124</v>
      </c>
      <c r="QLF2" s="94" t="s">
        <v>124</v>
      </c>
      <c r="QML2" s="94" t="s">
        <v>124</v>
      </c>
      <c r="QNR2" s="94" t="s">
        <v>124</v>
      </c>
      <c r="QOX2" s="94" t="s">
        <v>124</v>
      </c>
      <c r="QQD2" s="94" t="s">
        <v>124</v>
      </c>
      <c r="QRJ2" s="94" t="s">
        <v>124</v>
      </c>
      <c r="QSP2" s="94" t="s">
        <v>124</v>
      </c>
      <c r="QTV2" s="94" t="s">
        <v>124</v>
      </c>
      <c r="QVB2" s="94" t="s">
        <v>124</v>
      </c>
      <c r="QWH2" s="94" t="s">
        <v>124</v>
      </c>
      <c r="QXN2" s="94" t="s">
        <v>124</v>
      </c>
      <c r="QYT2" s="94" t="s">
        <v>124</v>
      </c>
      <c r="QZZ2" s="94" t="s">
        <v>124</v>
      </c>
      <c r="RBF2" s="94" t="s">
        <v>124</v>
      </c>
      <c r="RCL2" s="94" t="s">
        <v>124</v>
      </c>
      <c r="RDR2" s="94" t="s">
        <v>124</v>
      </c>
      <c r="REX2" s="94" t="s">
        <v>124</v>
      </c>
      <c r="RGD2" s="94" t="s">
        <v>124</v>
      </c>
      <c r="RHJ2" s="94" t="s">
        <v>124</v>
      </c>
      <c r="RIP2" s="94" t="s">
        <v>124</v>
      </c>
      <c r="RJV2" s="94" t="s">
        <v>124</v>
      </c>
      <c r="RLB2" s="94" t="s">
        <v>124</v>
      </c>
      <c r="RMH2" s="94" t="s">
        <v>124</v>
      </c>
      <c r="RNN2" s="94" t="s">
        <v>124</v>
      </c>
      <c r="ROT2" s="94" t="s">
        <v>124</v>
      </c>
      <c r="RPZ2" s="94" t="s">
        <v>124</v>
      </c>
      <c r="RRF2" s="94" t="s">
        <v>124</v>
      </c>
      <c r="RSL2" s="94" t="s">
        <v>124</v>
      </c>
      <c r="RTR2" s="94" t="s">
        <v>124</v>
      </c>
      <c r="RUX2" s="94" t="s">
        <v>124</v>
      </c>
      <c r="RWD2" s="94" t="s">
        <v>124</v>
      </c>
      <c r="RXJ2" s="94" t="s">
        <v>124</v>
      </c>
      <c r="RYP2" s="94" t="s">
        <v>124</v>
      </c>
      <c r="RZV2" s="94" t="s">
        <v>124</v>
      </c>
      <c r="SBB2" s="94" t="s">
        <v>124</v>
      </c>
      <c r="SCH2" s="94" t="s">
        <v>124</v>
      </c>
      <c r="SDN2" s="94" t="s">
        <v>124</v>
      </c>
      <c r="SET2" s="94" t="s">
        <v>124</v>
      </c>
      <c r="SFZ2" s="94" t="s">
        <v>124</v>
      </c>
      <c r="SHF2" s="94" t="s">
        <v>124</v>
      </c>
      <c r="SIL2" s="94" t="s">
        <v>124</v>
      </c>
      <c r="SJR2" s="94" t="s">
        <v>124</v>
      </c>
      <c r="SKX2" s="94" t="s">
        <v>124</v>
      </c>
      <c r="SMD2" s="94" t="s">
        <v>124</v>
      </c>
      <c r="SNJ2" s="94" t="s">
        <v>124</v>
      </c>
      <c r="SOP2" s="94" t="s">
        <v>124</v>
      </c>
      <c r="SPV2" s="94" t="s">
        <v>124</v>
      </c>
      <c r="SRB2" s="94" t="s">
        <v>124</v>
      </c>
      <c r="SSH2" s="94" t="s">
        <v>124</v>
      </c>
      <c r="STN2" s="94" t="s">
        <v>124</v>
      </c>
      <c r="SUT2" s="94" t="s">
        <v>124</v>
      </c>
      <c r="SVZ2" s="94" t="s">
        <v>124</v>
      </c>
      <c r="SXF2" s="94" t="s">
        <v>124</v>
      </c>
      <c r="SYL2" s="94" t="s">
        <v>124</v>
      </c>
      <c r="SZR2" s="94" t="s">
        <v>124</v>
      </c>
      <c r="TAX2" s="94" t="s">
        <v>124</v>
      </c>
      <c r="TCD2" s="94" t="s">
        <v>124</v>
      </c>
      <c r="TDJ2" s="94" t="s">
        <v>124</v>
      </c>
      <c r="TEP2" s="94" t="s">
        <v>124</v>
      </c>
      <c r="TFV2" s="94" t="s">
        <v>124</v>
      </c>
      <c r="THB2" s="94" t="s">
        <v>124</v>
      </c>
      <c r="TIH2" s="94" t="s">
        <v>124</v>
      </c>
      <c r="TJN2" s="94" t="s">
        <v>124</v>
      </c>
      <c r="TKT2" s="94" t="s">
        <v>124</v>
      </c>
      <c r="TLZ2" s="94" t="s">
        <v>124</v>
      </c>
      <c r="TNF2" s="94" t="s">
        <v>124</v>
      </c>
      <c r="TOL2" s="94" t="s">
        <v>124</v>
      </c>
      <c r="TPR2" s="94" t="s">
        <v>124</v>
      </c>
      <c r="TQX2" s="94" t="s">
        <v>124</v>
      </c>
      <c r="TSD2" s="94" t="s">
        <v>124</v>
      </c>
      <c r="TTJ2" s="94" t="s">
        <v>124</v>
      </c>
      <c r="TUP2" s="94" t="s">
        <v>124</v>
      </c>
      <c r="TVV2" s="94" t="s">
        <v>124</v>
      </c>
      <c r="TXB2" s="94" t="s">
        <v>124</v>
      </c>
      <c r="TYH2" s="94" t="s">
        <v>124</v>
      </c>
      <c r="TZN2" s="94" t="s">
        <v>124</v>
      </c>
      <c r="UAT2" s="94" t="s">
        <v>124</v>
      </c>
      <c r="UBZ2" s="94" t="s">
        <v>124</v>
      </c>
      <c r="UDF2" s="94" t="s">
        <v>124</v>
      </c>
      <c r="UEL2" s="94" t="s">
        <v>124</v>
      </c>
      <c r="UFR2" s="94" t="s">
        <v>124</v>
      </c>
      <c r="UGX2" s="94" t="s">
        <v>124</v>
      </c>
      <c r="UID2" s="94" t="s">
        <v>124</v>
      </c>
      <c r="UJJ2" s="94" t="s">
        <v>124</v>
      </c>
      <c r="UKP2" s="94" t="s">
        <v>124</v>
      </c>
      <c r="ULV2" s="94" t="s">
        <v>124</v>
      </c>
      <c r="UNB2" s="94" t="s">
        <v>124</v>
      </c>
      <c r="UOH2" s="94" t="s">
        <v>124</v>
      </c>
      <c r="UPN2" s="94" t="s">
        <v>124</v>
      </c>
      <c r="UQT2" s="94" t="s">
        <v>124</v>
      </c>
      <c r="URZ2" s="94" t="s">
        <v>124</v>
      </c>
      <c r="UTF2" s="94" t="s">
        <v>124</v>
      </c>
      <c r="UUL2" s="94" t="s">
        <v>124</v>
      </c>
      <c r="UVR2" s="94" t="s">
        <v>124</v>
      </c>
      <c r="UWX2" s="94" t="s">
        <v>124</v>
      </c>
      <c r="UYD2" s="94" t="s">
        <v>124</v>
      </c>
      <c r="UZJ2" s="94" t="s">
        <v>124</v>
      </c>
      <c r="VAP2" s="94" t="s">
        <v>124</v>
      </c>
      <c r="VBV2" s="94" t="s">
        <v>124</v>
      </c>
      <c r="VDB2" s="94" t="s">
        <v>124</v>
      </c>
      <c r="VEH2" s="94" t="s">
        <v>124</v>
      </c>
      <c r="VFN2" s="94" t="s">
        <v>124</v>
      </c>
      <c r="VGT2" s="94" t="s">
        <v>124</v>
      </c>
      <c r="VHZ2" s="94" t="s">
        <v>124</v>
      </c>
      <c r="VJF2" s="94" t="s">
        <v>124</v>
      </c>
      <c r="VKL2" s="94" t="s">
        <v>124</v>
      </c>
      <c r="VLR2" s="94" t="s">
        <v>124</v>
      </c>
      <c r="VMX2" s="94" t="s">
        <v>124</v>
      </c>
      <c r="VOD2" s="94" t="s">
        <v>124</v>
      </c>
      <c r="VPJ2" s="94" t="s">
        <v>124</v>
      </c>
      <c r="VQP2" s="94" t="s">
        <v>124</v>
      </c>
      <c r="VRV2" s="94" t="s">
        <v>124</v>
      </c>
      <c r="VTB2" s="94" t="s">
        <v>124</v>
      </c>
      <c r="VUH2" s="94" t="s">
        <v>124</v>
      </c>
      <c r="VVN2" s="94" t="s">
        <v>124</v>
      </c>
      <c r="VWT2" s="94" t="s">
        <v>124</v>
      </c>
      <c r="VXZ2" s="94" t="s">
        <v>124</v>
      </c>
      <c r="VZF2" s="94" t="s">
        <v>124</v>
      </c>
      <c r="WAL2" s="94" t="s">
        <v>124</v>
      </c>
      <c r="WBR2" s="94" t="s">
        <v>124</v>
      </c>
      <c r="WCX2" s="94" t="s">
        <v>124</v>
      </c>
      <c r="WED2" s="94" t="s">
        <v>124</v>
      </c>
      <c r="WFJ2" s="94" t="s">
        <v>124</v>
      </c>
      <c r="WGP2" s="94" t="s">
        <v>124</v>
      </c>
      <c r="WHV2" s="94" t="s">
        <v>124</v>
      </c>
      <c r="WJB2" s="94" t="s">
        <v>124</v>
      </c>
      <c r="WKH2" s="94" t="s">
        <v>124</v>
      </c>
      <c r="WLN2" s="94" t="s">
        <v>124</v>
      </c>
      <c r="WMT2" s="94" t="s">
        <v>124</v>
      </c>
      <c r="WNZ2" s="94" t="s">
        <v>124</v>
      </c>
      <c r="WPF2" s="94" t="s">
        <v>124</v>
      </c>
      <c r="WQL2" s="94" t="s">
        <v>124</v>
      </c>
      <c r="WRR2" s="94" t="s">
        <v>124</v>
      </c>
      <c r="WSX2" s="94" t="s">
        <v>124</v>
      </c>
      <c r="WUD2" s="94" t="s">
        <v>124</v>
      </c>
      <c r="WVJ2" s="94" t="s">
        <v>124</v>
      </c>
      <c r="WWP2" s="94" t="s">
        <v>124</v>
      </c>
      <c r="WXV2" s="94" t="s">
        <v>124</v>
      </c>
      <c r="WZB2" s="94" t="s">
        <v>124</v>
      </c>
      <c r="XAH2" s="94" t="s">
        <v>124</v>
      </c>
      <c r="XBN2" s="94" t="s">
        <v>124</v>
      </c>
      <c r="XCT2" s="94" t="s">
        <v>124</v>
      </c>
      <c r="XDZ2" s="94" t="s">
        <v>124</v>
      </c>
    </row>
    <row r="3" spans="2:1007 1026:2031 2050:3055 3074:4079 4098:5103 5122:6127 6146:7151 7170:8175 8194:9199 9218:10223 10242:11247 11266:12271 12290:13295 13314:14319 14338:15343 15362:16367" s="94" customFormat="1"/>
    <row r="4" spans="2:1007 1026:2031 2050:3055 3074:4079 4098:5103 5122:6127 6146:7151 7170:8175 8194:9199 9218:10223 10242:11247 11266:12271 12290:13295 13314:14319 14338:15343 15362:16367" s="94" customFormat="1">
      <c r="B4" s="94" t="s">
        <v>138</v>
      </c>
      <c r="AH4" s="94" t="s">
        <v>138</v>
      </c>
      <c r="BN4" s="94" t="s">
        <v>138</v>
      </c>
      <c r="CT4" s="94" t="s">
        <v>138</v>
      </c>
      <c r="DZ4" s="94" t="s">
        <v>138</v>
      </c>
      <c r="FF4" s="94" t="s">
        <v>138</v>
      </c>
      <c r="GL4" s="94" t="s">
        <v>138</v>
      </c>
      <c r="HR4" s="94" t="s">
        <v>138</v>
      </c>
      <c r="IX4" s="94" t="s">
        <v>138</v>
      </c>
      <c r="KD4" s="94" t="s">
        <v>138</v>
      </c>
      <c r="LJ4" s="94" t="s">
        <v>138</v>
      </c>
      <c r="MP4" s="94" t="s">
        <v>138</v>
      </c>
      <c r="NV4" s="94" t="s">
        <v>138</v>
      </c>
      <c r="PB4" s="94" t="s">
        <v>138</v>
      </c>
      <c r="QH4" s="94" t="s">
        <v>138</v>
      </c>
      <c r="RN4" s="94" t="s">
        <v>138</v>
      </c>
      <c r="ST4" s="94" t="s">
        <v>138</v>
      </c>
      <c r="TZ4" s="94" t="s">
        <v>138</v>
      </c>
      <c r="VF4" s="94" t="s">
        <v>138</v>
      </c>
      <c r="WL4" s="94" t="s">
        <v>138</v>
      </c>
      <c r="XR4" s="94" t="s">
        <v>138</v>
      </c>
      <c r="YX4" s="94" t="s">
        <v>138</v>
      </c>
      <c r="AAD4" s="94" t="s">
        <v>138</v>
      </c>
      <c r="ABJ4" s="94" t="s">
        <v>138</v>
      </c>
      <c r="ACP4" s="94" t="s">
        <v>138</v>
      </c>
      <c r="ADV4" s="94" t="s">
        <v>138</v>
      </c>
      <c r="AFB4" s="94" t="s">
        <v>138</v>
      </c>
      <c r="AGH4" s="94" t="s">
        <v>138</v>
      </c>
      <c r="AHN4" s="94" t="s">
        <v>138</v>
      </c>
      <c r="AIT4" s="94" t="s">
        <v>138</v>
      </c>
      <c r="AJZ4" s="94" t="s">
        <v>138</v>
      </c>
      <c r="ALF4" s="94" t="s">
        <v>138</v>
      </c>
      <c r="AML4" s="94" t="s">
        <v>138</v>
      </c>
      <c r="ANR4" s="94" t="s">
        <v>138</v>
      </c>
      <c r="AOX4" s="94" t="s">
        <v>138</v>
      </c>
      <c r="AQD4" s="94" t="s">
        <v>138</v>
      </c>
      <c r="ARJ4" s="94" t="s">
        <v>138</v>
      </c>
      <c r="ASP4" s="94" t="s">
        <v>138</v>
      </c>
      <c r="ATV4" s="94" t="s">
        <v>138</v>
      </c>
      <c r="AVB4" s="94" t="s">
        <v>138</v>
      </c>
      <c r="AWH4" s="94" t="s">
        <v>138</v>
      </c>
      <c r="AXN4" s="94" t="s">
        <v>138</v>
      </c>
      <c r="AYT4" s="94" t="s">
        <v>138</v>
      </c>
      <c r="AZZ4" s="94" t="s">
        <v>138</v>
      </c>
      <c r="BBF4" s="94" t="s">
        <v>138</v>
      </c>
      <c r="BCL4" s="94" t="s">
        <v>138</v>
      </c>
      <c r="BDR4" s="94" t="s">
        <v>138</v>
      </c>
      <c r="BEX4" s="94" t="s">
        <v>138</v>
      </c>
      <c r="BGD4" s="94" t="s">
        <v>138</v>
      </c>
      <c r="BHJ4" s="94" t="s">
        <v>138</v>
      </c>
      <c r="BIP4" s="94" t="s">
        <v>138</v>
      </c>
      <c r="BJV4" s="94" t="s">
        <v>138</v>
      </c>
      <c r="BLB4" s="94" t="s">
        <v>138</v>
      </c>
      <c r="BMH4" s="94" t="s">
        <v>138</v>
      </c>
      <c r="BNN4" s="94" t="s">
        <v>138</v>
      </c>
      <c r="BOT4" s="94" t="s">
        <v>138</v>
      </c>
      <c r="BPZ4" s="94" t="s">
        <v>138</v>
      </c>
      <c r="BRF4" s="94" t="s">
        <v>138</v>
      </c>
      <c r="BSL4" s="94" t="s">
        <v>138</v>
      </c>
      <c r="BTR4" s="94" t="s">
        <v>138</v>
      </c>
      <c r="BUX4" s="94" t="s">
        <v>138</v>
      </c>
      <c r="BWD4" s="94" t="s">
        <v>138</v>
      </c>
      <c r="BXJ4" s="94" t="s">
        <v>138</v>
      </c>
      <c r="BYP4" s="94" t="s">
        <v>138</v>
      </c>
      <c r="BZV4" s="94" t="s">
        <v>138</v>
      </c>
      <c r="CBB4" s="94" t="s">
        <v>138</v>
      </c>
      <c r="CCH4" s="94" t="s">
        <v>138</v>
      </c>
      <c r="CDN4" s="94" t="s">
        <v>138</v>
      </c>
      <c r="CET4" s="94" t="s">
        <v>138</v>
      </c>
      <c r="CFZ4" s="94" t="s">
        <v>138</v>
      </c>
      <c r="CHF4" s="94" t="s">
        <v>138</v>
      </c>
      <c r="CIL4" s="94" t="s">
        <v>138</v>
      </c>
      <c r="CJR4" s="94" t="s">
        <v>138</v>
      </c>
      <c r="CKX4" s="94" t="s">
        <v>138</v>
      </c>
      <c r="CMD4" s="94" t="s">
        <v>138</v>
      </c>
      <c r="CNJ4" s="94" t="s">
        <v>138</v>
      </c>
      <c r="COP4" s="94" t="s">
        <v>138</v>
      </c>
      <c r="CPV4" s="94" t="s">
        <v>138</v>
      </c>
      <c r="CRB4" s="94" t="s">
        <v>138</v>
      </c>
      <c r="CSH4" s="94" t="s">
        <v>138</v>
      </c>
      <c r="CTN4" s="94" t="s">
        <v>138</v>
      </c>
      <c r="CUT4" s="94" t="s">
        <v>138</v>
      </c>
      <c r="CVZ4" s="94" t="s">
        <v>138</v>
      </c>
      <c r="CXF4" s="94" t="s">
        <v>138</v>
      </c>
      <c r="CYL4" s="94" t="s">
        <v>138</v>
      </c>
      <c r="CZR4" s="94" t="s">
        <v>138</v>
      </c>
      <c r="DAX4" s="94" t="s">
        <v>138</v>
      </c>
      <c r="DCD4" s="94" t="s">
        <v>138</v>
      </c>
      <c r="DDJ4" s="94" t="s">
        <v>138</v>
      </c>
      <c r="DEP4" s="94" t="s">
        <v>138</v>
      </c>
      <c r="DFV4" s="94" t="s">
        <v>138</v>
      </c>
      <c r="DHB4" s="94" t="s">
        <v>138</v>
      </c>
      <c r="DIH4" s="94" t="s">
        <v>138</v>
      </c>
      <c r="DJN4" s="94" t="s">
        <v>138</v>
      </c>
      <c r="DKT4" s="94" t="s">
        <v>138</v>
      </c>
      <c r="DLZ4" s="94" t="s">
        <v>138</v>
      </c>
      <c r="DNF4" s="94" t="s">
        <v>138</v>
      </c>
      <c r="DOL4" s="94" t="s">
        <v>138</v>
      </c>
      <c r="DPR4" s="94" t="s">
        <v>138</v>
      </c>
      <c r="DQX4" s="94" t="s">
        <v>138</v>
      </c>
      <c r="DSD4" s="94" t="s">
        <v>138</v>
      </c>
      <c r="DTJ4" s="94" t="s">
        <v>138</v>
      </c>
      <c r="DUP4" s="94" t="s">
        <v>138</v>
      </c>
      <c r="DVV4" s="94" t="s">
        <v>138</v>
      </c>
      <c r="DXB4" s="94" t="s">
        <v>138</v>
      </c>
      <c r="DYH4" s="94" t="s">
        <v>138</v>
      </c>
      <c r="DZN4" s="94" t="s">
        <v>138</v>
      </c>
      <c r="EAT4" s="94" t="s">
        <v>138</v>
      </c>
      <c r="EBZ4" s="94" t="s">
        <v>138</v>
      </c>
      <c r="EDF4" s="94" t="s">
        <v>138</v>
      </c>
      <c r="EEL4" s="94" t="s">
        <v>138</v>
      </c>
      <c r="EFR4" s="94" t="s">
        <v>138</v>
      </c>
      <c r="EGX4" s="94" t="s">
        <v>138</v>
      </c>
      <c r="EID4" s="94" t="s">
        <v>138</v>
      </c>
      <c r="EJJ4" s="94" t="s">
        <v>138</v>
      </c>
      <c r="EKP4" s="94" t="s">
        <v>138</v>
      </c>
      <c r="ELV4" s="94" t="s">
        <v>138</v>
      </c>
      <c r="ENB4" s="94" t="s">
        <v>138</v>
      </c>
      <c r="EOH4" s="94" t="s">
        <v>138</v>
      </c>
      <c r="EPN4" s="94" t="s">
        <v>138</v>
      </c>
      <c r="EQT4" s="94" t="s">
        <v>138</v>
      </c>
      <c r="ERZ4" s="94" t="s">
        <v>138</v>
      </c>
      <c r="ETF4" s="94" t="s">
        <v>138</v>
      </c>
      <c r="EUL4" s="94" t="s">
        <v>138</v>
      </c>
      <c r="EVR4" s="94" t="s">
        <v>138</v>
      </c>
      <c r="EWX4" s="94" t="s">
        <v>138</v>
      </c>
      <c r="EYD4" s="94" t="s">
        <v>138</v>
      </c>
      <c r="EZJ4" s="94" t="s">
        <v>138</v>
      </c>
      <c r="FAP4" s="94" t="s">
        <v>138</v>
      </c>
      <c r="FBV4" s="94" t="s">
        <v>138</v>
      </c>
      <c r="FDB4" s="94" t="s">
        <v>138</v>
      </c>
      <c r="FEH4" s="94" t="s">
        <v>138</v>
      </c>
      <c r="FFN4" s="94" t="s">
        <v>138</v>
      </c>
      <c r="FGT4" s="94" t="s">
        <v>138</v>
      </c>
      <c r="FHZ4" s="94" t="s">
        <v>138</v>
      </c>
      <c r="FJF4" s="94" t="s">
        <v>138</v>
      </c>
      <c r="FKL4" s="94" t="s">
        <v>138</v>
      </c>
      <c r="FLR4" s="94" t="s">
        <v>138</v>
      </c>
      <c r="FMX4" s="94" t="s">
        <v>138</v>
      </c>
      <c r="FOD4" s="94" t="s">
        <v>138</v>
      </c>
      <c r="FPJ4" s="94" t="s">
        <v>138</v>
      </c>
      <c r="FQP4" s="94" t="s">
        <v>138</v>
      </c>
      <c r="FRV4" s="94" t="s">
        <v>138</v>
      </c>
      <c r="FTB4" s="94" t="s">
        <v>138</v>
      </c>
      <c r="FUH4" s="94" t="s">
        <v>138</v>
      </c>
      <c r="FVN4" s="94" t="s">
        <v>138</v>
      </c>
      <c r="FWT4" s="94" t="s">
        <v>138</v>
      </c>
      <c r="FXZ4" s="94" t="s">
        <v>138</v>
      </c>
      <c r="FZF4" s="94" t="s">
        <v>138</v>
      </c>
      <c r="GAL4" s="94" t="s">
        <v>138</v>
      </c>
      <c r="GBR4" s="94" t="s">
        <v>138</v>
      </c>
      <c r="GCX4" s="94" t="s">
        <v>138</v>
      </c>
      <c r="GED4" s="94" t="s">
        <v>138</v>
      </c>
      <c r="GFJ4" s="94" t="s">
        <v>138</v>
      </c>
      <c r="GGP4" s="94" t="s">
        <v>138</v>
      </c>
      <c r="GHV4" s="94" t="s">
        <v>138</v>
      </c>
      <c r="GJB4" s="94" t="s">
        <v>138</v>
      </c>
      <c r="GKH4" s="94" t="s">
        <v>138</v>
      </c>
      <c r="GLN4" s="94" t="s">
        <v>138</v>
      </c>
      <c r="GMT4" s="94" t="s">
        <v>138</v>
      </c>
      <c r="GNZ4" s="94" t="s">
        <v>138</v>
      </c>
      <c r="GPF4" s="94" t="s">
        <v>138</v>
      </c>
      <c r="GQL4" s="94" t="s">
        <v>138</v>
      </c>
      <c r="GRR4" s="94" t="s">
        <v>138</v>
      </c>
      <c r="GSX4" s="94" t="s">
        <v>138</v>
      </c>
      <c r="GUD4" s="94" t="s">
        <v>138</v>
      </c>
      <c r="GVJ4" s="94" t="s">
        <v>138</v>
      </c>
      <c r="GWP4" s="94" t="s">
        <v>138</v>
      </c>
      <c r="GXV4" s="94" t="s">
        <v>138</v>
      </c>
      <c r="GZB4" s="94" t="s">
        <v>138</v>
      </c>
      <c r="HAH4" s="94" t="s">
        <v>138</v>
      </c>
      <c r="HBN4" s="94" t="s">
        <v>138</v>
      </c>
      <c r="HCT4" s="94" t="s">
        <v>138</v>
      </c>
      <c r="HDZ4" s="94" t="s">
        <v>138</v>
      </c>
      <c r="HFF4" s="94" t="s">
        <v>138</v>
      </c>
      <c r="HGL4" s="94" t="s">
        <v>138</v>
      </c>
      <c r="HHR4" s="94" t="s">
        <v>138</v>
      </c>
      <c r="HIX4" s="94" t="s">
        <v>138</v>
      </c>
      <c r="HKD4" s="94" t="s">
        <v>138</v>
      </c>
      <c r="HLJ4" s="94" t="s">
        <v>138</v>
      </c>
      <c r="HMP4" s="94" t="s">
        <v>138</v>
      </c>
      <c r="HNV4" s="94" t="s">
        <v>138</v>
      </c>
      <c r="HPB4" s="94" t="s">
        <v>138</v>
      </c>
      <c r="HQH4" s="94" t="s">
        <v>138</v>
      </c>
      <c r="HRN4" s="94" t="s">
        <v>138</v>
      </c>
      <c r="HST4" s="94" t="s">
        <v>138</v>
      </c>
      <c r="HTZ4" s="94" t="s">
        <v>138</v>
      </c>
      <c r="HVF4" s="94" t="s">
        <v>138</v>
      </c>
      <c r="HWL4" s="94" t="s">
        <v>138</v>
      </c>
      <c r="HXR4" s="94" t="s">
        <v>138</v>
      </c>
      <c r="HYX4" s="94" t="s">
        <v>138</v>
      </c>
      <c r="IAD4" s="94" t="s">
        <v>138</v>
      </c>
      <c r="IBJ4" s="94" t="s">
        <v>138</v>
      </c>
      <c r="ICP4" s="94" t="s">
        <v>138</v>
      </c>
      <c r="IDV4" s="94" t="s">
        <v>138</v>
      </c>
      <c r="IFB4" s="94" t="s">
        <v>138</v>
      </c>
      <c r="IGH4" s="94" t="s">
        <v>138</v>
      </c>
      <c r="IHN4" s="94" t="s">
        <v>138</v>
      </c>
      <c r="IIT4" s="94" t="s">
        <v>138</v>
      </c>
      <c r="IJZ4" s="94" t="s">
        <v>138</v>
      </c>
      <c r="ILF4" s="94" t="s">
        <v>138</v>
      </c>
      <c r="IML4" s="94" t="s">
        <v>138</v>
      </c>
      <c r="INR4" s="94" t="s">
        <v>138</v>
      </c>
      <c r="IOX4" s="94" t="s">
        <v>138</v>
      </c>
      <c r="IQD4" s="94" t="s">
        <v>138</v>
      </c>
      <c r="IRJ4" s="94" t="s">
        <v>138</v>
      </c>
      <c r="ISP4" s="94" t="s">
        <v>138</v>
      </c>
      <c r="ITV4" s="94" t="s">
        <v>138</v>
      </c>
      <c r="IVB4" s="94" t="s">
        <v>138</v>
      </c>
      <c r="IWH4" s="94" t="s">
        <v>138</v>
      </c>
      <c r="IXN4" s="94" t="s">
        <v>138</v>
      </c>
      <c r="IYT4" s="94" t="s">
        <v>138</v>
      </c>
      <c r="IZZ4" s="94" t="s">
        <v>138</v>
      </c>
      <c r="JBF4" s="94" t="s">
        <v>138</v>
      </c>
      <c r="JCL4" s="94" t="s">
        <v>138</v>
      </c>
      <c r="JDR4" s="94" t="s">
        <v>138</v>
      </c>
      <c r="JEX4" s="94" t="s">
        <v>138</v>
      </c>
      <c r="JGD4" s="94" t="s">
        <v>138</v>
      </c>
      <c r="JHJ4" s="94" t="s">
        <v>138</v>
      </c>
      <c r="JIP4" s="94" t="s">
        <v>138</v>
      </c>
      <c r="JJV4" s="94" t="s">
        <v>138</v>
      </c>
      <c r="JLB4" s="94" t="s">
        <v>138</v>
      </c>
      <c r="JMH4" s="94" t="s">
        <v>138</v>
      </c>
      <c r="JNN4" s="94" t="s">
        <v>138</v>
      </c>
      <c r="JOT4" s="94" t="s">
        <v>138</v>
      </c>
      <c r="JPZ4" s="94" t="s">
        <v>138</v>
      </c>
      <c r="JRF4" s="94" t="s">
        <v>138</v>
      </c>
      <c r="JSL4" s="94" t="s">
        <v>138</v>
      </c>
      <c r="JTR4" s="94" t="s">
        <v>138</v>
      </c>
      <c r="JUX4" s="94" t="s">
        <v>138</v>
      </c>
      <c r="JWD4" s="94" t="s">
        <v>138</v>
      </c>
      <c r="JXJ4" s="94" t="s">
        <v>138</v>
      </c>
      <c r="JYP4" s="94" t="s">
        <v>138</v>
      </c>
      <c r="JZV4" s="94" t="s">
        <v>138</v>
      </c>
      <c r="KBB4" s="94" t="s">
        <v>138</v>
      </c>
      <c r="KCH4" s="94" t="s">
        <v>138</v>
      </c>
      <c r="KDN4" s="94" t="s">
        <v>138</v>
      </c>
      <c r="KET4" s="94" t="s">
        <v>138</v>
      </c>
      <c r="KFZ4" s="94" t="s">
        <v>138</v>
      </c>
      <c r="KHF4" s="94" t="s">
        <v>138</v>
      </c>
      <c r="KIL4" s="94" t="s">
        <v>138</v>
      </c>
      <c r="KJR4" s="94" t="s">
        <v>138</v>
      </c>
      <c r="KKX4" s="94" t="s">
        <v>138</v>
      </c>
      <c r="KMD4" s="94" t="s">
        <v>138</v>
      </c>
      <c r="KNJ4" s="94" t="s">
        <v>138</v>
      </c>
      <c r="KOP4" s="94" t="s">
        <v>138</v>
      </c>
      <c r="KPV4" s="94" t="s">
        <v>138</v>
      </c>
      <c r="KRB4" s="94" t="s">
        <v>138</v>
      </c>
      <c r="KSH4" s="94" t="s">
        <v>138</v>
      </c>
      <c r="KTN4" s="94" t="s">
        <v>138</v>
      </c>
      <c r="KUT4" s="94" t="s">
        <v>138</v>
      </c>
      <c r="KVZ4" s="94" t="s">
        <v>138</v>
      </c>
      <c r="KXF4" s="94" t="s">
        <v>138</v>
      </c>
      <c r="KYL4" s="94" t="s">
        <v>138</v>
      </c>
      <c r="KZR4" s="94" t="s">
        <v>138</v>
      </c>
      <c r="LAX4" s="94" t="s">
        <v>138</v>
      </c>
      <c r="LCD4" s="94" t="s">
        <v>138</v>
      </c>
      <c r="LDJ4" s="94" t="s">
        <v>138</v>
      </c>
      <c r="LEP4" s="94" t="s">
        <v>138</v>
      </c>
      <c r="LFV4" s="94" t="s">
        <v>138</v>
      </c>
      <c r="LHB4" s="94" t="s">
        <v>138</v>
      </c>
      <c r="LIH4" s="94" t="s">
        <v>138</v>
      </c>
      <c r="LJN4" s="94" t="s">
        <v>138</v>
      </c>
      <c r="LKT4" s="94" t="s">
        <v>138</v>
      </c>
      <c r="LLZ4" s="94" t="s">
        <v>138</v>
      </c>
      <c r="LNF4" s="94" t="s">
        <v>138</v>
      </c>
      <c r="LOL4" s="94" t="s">
        <v>138</v>
      </c>
      <c r="LPR4" s="94" t="s">
        <v>138</v>
      </c>
      <c r="LQX4" s="94" t="s">
        <v>138</v>
      </c>
      <c r="LSD4" s="94" t="s">
        <v>138</v>
      </c>
      <c r="LTJ4" s="94" t="s">
        <v>138</v>
      </c>
      <c r="LUP4" s="94" t="s">
        <v>138</v>
      </c>
      <c r="LVV4" s="94" t="s">
        <v>138</v>
      </c>
      <c r="LXB4" s="94" t="s">
        <v>138</v>
      </c>
      <c r="LYH4" s="94" t="s">
        <v>138</v>
      </c>
      <c r="LZN4" s="94" t="s">
        <v>138</v>
      </c>
      <c r="MAT4" s="94" t="s">
        <v>138</v>
      </c>
      <c r="MBZ4" s="94" t="s">
        <v>138</v>
      </c>
      <c r="MDF4" s="94" t="s">
        <v>138</v>
      </c>
      <c r="MEL4" s="94" t="s">
        <v>138</v>
      </c>
      <c r="MFR4" s="94" t="s">
        <v>138</v>
      </c>
      <c r="MGX4" s="94" t="s">
        <v>138</v>
      </c>
      <c r="MID4" s="94" t="s">
        <v>138</v>
      </c>
      <c r="MJJ4" s="94" t="s">
        <v>138</v>
      </c>
      <c r="MKP4" s="94" t="s">
        <v>138</v>
      </c>
      <c r="MLV4" s="94" t="s">
        <v>138</v>
      </c>
      <c r="MNB4" s="94" t="s">
        <v>138</v>
      </c>
      <c r="MOH4" s="94" t="s">
        <v>138</v>
      </c>
      <c r="MPN4" s="94" t="s">
        <v>138</v>
      </c>
      <c r="MQT4" s="94" t="s">
        <v>138</v>
      </c>
      <c r="MRZ4" s="94" t="s">
        <v>138</v>
      </c>
      <c r="MTF4" s="94" t="s">
        <v>138</v>
      </c>
      <c r="MUL4" s="94" t="s">
        <v>138</v>
      </c>
      <c r="MVR4" s="94" t="s">
        <v>138</v>
      </c>
      <c r="MWX4" s="94" t="s">
        <v>138</v>
      </c>
      <c r="MYD4" s="94" t="s">
        <v>138</v>
      </c>
      <c r="MZJ4" s="94" t="s">
        <v>138</v>
      </c>
      <c r="NAP4" s="94" t="s">
        <v>138</v>
      </c>
      <c r="NBV4" s="94" t="s">
        <v>138</v>
      </c>
      <c r="NDB4" s="94" t="s">
        <v>138</v>
      </c>
      <c r="NEH4" s="94" t="s">
        <v>138</v>
      </c>
      <c r="NFN4" s="94" t="s">
        <v>138</v>
      </c>
      <c r="NGT4" s="94" t="s">
        <v>138</v>
      </c>
      <c r="NHZ4" s="94" t="s">
        <v>138</v>
      </c>
      <c r="NJF4" s="94" t="s">
        <v>138</v>
      </c>
      <c r="NKL4" s="94" t="s">
        <v>138</v>
      </c>
      <c r="NLR4" s="94" t="s">
        <v>138</v>
      </c>
      <c r="NMX4" s="94" t="s">
        <v>138</v>
      </c>
      <c r="NOD4" s="94" t="s">
        <v>138</v>
      </c>
      <c r="NPJ4" s="94" t="s">
        <v>138</v>
      </c>
      <c r="NQP4" s="94" t="s">
        <v>138</v>
      </c>
      <c r="NRV4" s="94" t="s">
        <v>138</v>
      </c>
      <c r="NTB4" s="94" t="s">
        <v>138</v>
      </c>
      <c r="NUH4" s="94" t="s">
        <v>138</v>
      </c>
      <c r="NVN4" s="94" t="s">
        <v>138</v>
      </c>
      <c r="NWT4" s="94" t="s">
        <v>138</v>
      </c>
      <c r="NXZ4" s="94" t="s">
        <v>138</v>
      </c>
      <c r="NZF4" s="94" t="s">
        <v>138</v>
      </c>
      <c r="OAL4" s="94" t="s">
        <v>138</v>
      </c>
      <c r="OBR4" s="94" t="s">
        <v>138</v>
      </c>
      <c r="OCX4" s="94" t="s">
        <v>138</v>
      </c>
      <c r="OED4" s="94" t="s">
        <v>138</v>
      </c>
      <c r="OFJ4" s="94" t="s">
        <v>138</v>
      </c>
      <c r="OGP4" s="94" t="s">
        <v>138</v>
      </c>
      <c r="OHV4" s="94" t="s">
        <v>138</v>
      </c>
      <c r="OJB4" s="94" t="s">
        <v>138</v>
      </c>
      <c r="OKH4" s="94" t="s">
        <v>138</v>
      </c>
      <c r="OLN4" s="94" t="s">
        <v>138</v>
      </c>
      <c r="OMT4" s="94" t="s">
        <v>138</v>
      </c>
      <c r="ONZ4" s="94" t="s">
        <v>138</v>
      </c>
      <c r="OPF4" s="94" t="s">
        <v>138</v>
      </c>
      <c r="OQL4" s="94" t="s">
        <v>138</v>
      </c>
      <c r="ORR4" s="94" t="s">
        <v>138</v>
      </c>
      <c r="OSX4" s="94" t="s">
        <v>138</v>
      </c>
      <c r="OUD4" s="94" t="s">
        <v>138</v>
      </c>
      <c r="OVJ4" s="94" t="s">
        <v>138</v>
      </c>
      <c r="OWP4" s="94" t="s">
        <v>138</v>
      </c>
      <c r="OXV4" s="94" t="s">
        <v>138</v>
      </c>
      <c r="OZB4" s="94" t="s">
        <v>138</v>
      </c>
      <c r="PAH4" s="94" t="s">
        <v>138</v>
      </c>
      <c r="PBN4" s="94" t="s">
        <v>138</v>
      </c>
      <c r="PCT4" s="94" t="s">
        <v>138</v>
      </c>
      <c r="PDZ4" s="94" t="s">
        <v>138</v>
      </c>
      <c r="PFF4" s="94" t="s">
        <v>138</v>
      </c>
      <c r="PGL4" s="94" t="s">
        <v>138</v>
      </c>
      <c r="PHR4" s="94" t="s">
        <v>138</v>
      </c>
      <c r="PIX4" s="94" t="s">
        <v>138</v>
      </c>
      <c r="PKD4" s="94" t="s">
        <v>138</v>
      </c>
      <c r="PLJ4" s="94" t="s">
        <v>138</v>
      </c>
      <c r="PMP4" s="94" t="s">
        <v>138</v>
      </c>
      <c r="PNV4" s="94" t="s">
        <v>138</v>
      </c>
      <c r="PPB4" s="94" t="s">
        <v>138</v>
      </c>
      <c r="PQH4" s="94" t="s">
        <v>138</v>
      </c>
      <c r="PRN4" s="94" t="s">
        <v>138</v>
      </c>
      <c r="PST4" s="94" t="s">
        <v>138</v>
      </c>
      <c r="PTZ4" s="94" t="s">
        <v>138</v>
      </c>
      <c r="PVF4" s="94" t="s">
        <v>138</v>
      </c>
      <c r="PWL4" s="94" t="s">
        <v>138</v>
      </c>
      <c r="PXR4" s="94" t="s">
        <v>138</v>
      </c>
      <c r="PYX4" s="94" t="s">
        <v>138</v>
      </c>
      <c r="QAD4" s="94" t="s">
        <v>138</v>
      </c>
      <c r="QBJ4" s="94" t="s">
        <v>138</v>
      </c>
      <c r="QCP4" s="94" t="s">
        <v>138</v>
      </c>
      <c r="QDV4" s="94" t="s">
        <v>138</v>
      </c>
      <c r="QFB4" s="94" t="s">
        <v>138</v>
      </c>
      <c r="QGH4" s="94" t="s">
        <v>138</v>
      </c>
      <c r="QHN4" s="94" t="s">
        <v>138</v>
      </c>
      <c r="QIT4" s="94" t="s">
        <v>138</v>
      </c>
      <c r="QJZ4" s="94" t="s">
        <v>138</v>
      </c>
      <c r="QLF4" s="94" t="s">
        <v>138</v>
      </c>
      <c r="QML4" s="94" t="s">
        <v>138</v>
      </c>
      <c r="QNR4" s="94" t="s">
        <v>138</v>
      </c>
      <c r="QOX4" s="94" t="s">
        <v>138</v>
      </c>
      <c r="QQD4" s="94" t="s">
        <v>138</v>
      </c>
      <c r="QRJ4" s="94" t="s">
        <v>138</v>
      </c>
      <c r="QSP4" s="94" t="s">
        <v>138</v>
      </c>
      <c r="QTV4" s="94" t="s">
        <v>138</v>
      </c>
      <c r="QVB4" s="94" t="s">
        <v>138</v>
      </c>
      <c r="QWH4" s="94" t="s">
        <v>138</v>
      </c>
      <c r="QXN4" s="94" t="s">
        <v>138</v>
      </c>
      <c r="QYT4" s="94" t="s">
        <v>138</v>
      </c>
      <c r="QZZ4" s="94" t="s">
        <v>138</v>
      </c>
      <c r="RBF4" s="94" t="s">
        <v>138</v>
      </c>
      <c r="RCL4" s="94" t="s">
        <v>138</v>
      </c>
      <c r="RDR4" s="94" t="s">
        <v>138</v>
      </c>
      <c r="REX4" s="94" t="s">
        <v>138</v>
      </c>
      <c r="RGD4" s="94" t="s">
        <v>138</v>
      </c>
      <c r="RHJ4" s="94" t="s">
        <v>138</v>
      </c>
      <c r="RIP4" s="94" t="s">
        <v>138</v>
      </c>
      <c r="RJV4" s="94" t="s">
        <v>138</v>
      </c>
      <c r="RLB4" s="94" t="s">
        <v>138</v>
      </c>
      <c r="RMH4" s="94" t="s">
        <v>138</v>
      </c>
      <c r="RNN4" s="94" t="s">
        <v>138</v>
      </c>
      <c r="ROT4" s="94" t="s">
        <v>138</v>
      </c>
      <c r="RPZ4" s="94" t="s">
        <v>138</v>
      </c>
      <c r="RRF4" s="94" t="s">
        <v>138</v>
      </c>
      <c r="RSL4" s="94" t="s">
        <v>138</v>
      </c>
      <c r="RTR4" s="94" t="s">
        <v>138</v>
      </c>
      <c r="RUX4" s="94" t="s">
        <v>138</v>
      </c>
      <c r="RWD4" s="94" t="s">
        <v>138</v>
      </c>
      <c r="RXJ4" s="94" t="s">
        <v>138</v>
      </c>
      <c r="RYP4" s="94" t="s">
        <v>138</v>
      </c>
      <c r="RZV4" s="94" t="s">
        <v>138</v>
      </c>
      <c r="SBB4" s="94" t="s">
        <v>138</v>
      </c>
      <c r="SCH4" s="94" t="s">
        <v>138</v>
      </c>
      <c r="SDN4" s="94" t="s">
        <v>138</v>
      </c>
      <c r="SET4" s="94" t="s">
        <v>138</v>
      </c>
      <c r="SFZ4" s="94" t="s">
        <v>138</v>
      </c>
      <c r="SHF4" s="94" t="s">
        <v>138</v>
      </c>
      <c r="SIL4" s="94" t="s">
        <v>138</v>
      </c>
      <c r="SJR4" s="94" t="s">
        <v>138</v>
      </c>
      <c r="SKX4" s="94" t="s">
        <v>138</v>
      </c>
      <c r="SMD4" s="94" t="s">
        <v>138</v>
      </c>
      <c r="SNJ4" s="94" t="s">
        <v>138</v>
      </c>
      <c r="SOP4" s="94" t="s">
        <v>138</v>
      </c>
      <c r="SPV4" s="94" t="s">
        <v>138</v>
      </c>
      <c r="SRB4" s="94" t="s">
        <v>138</v>
      </c>
      <c r="SSH4" s="94" t="s">
        <v>138</v>
      </c>
      <c r="STN4" s="94" t="s">
        <v>138</v>
      </c>
      <c r="SUT4" s="94" t="s">
        <v>138</v>
      </c>
      <c r="SVZ4" s="94" t="s">
        <v>138</v>
      </c>
      <c r="SXF4" s="94" t="s">
        <v>138</v>
      </c>
      <c r="SYL4" s="94" t="s">
        <v>138</v>
      </c>
      <c r="SZR4" s="94" t="s">
        <v>138</v>
      </c>
      <c r="TAX4" s="94" t="s">
        <v>138</v>
      </c>
      <c r="TCD4" s="94" t="s">
        <v>138</v>
      </c>
      <c r="TDJ4" s="94" t="s">
        <v>138</v>
      </c>
      <c r="TEP4" s="94" t="s">
        <v>138</v>
      </c>
      <c r="TFV4" s="94" t="s">
        <v>138</v>
      </c>
      <c r="THB4" s="94" t="s">
        <v>138</v>
      </c>
      <c r="TIH4" s="94" t="s">
        <v>138</v>
      </c>
      <c r="TJN4" s="94" t="s">
        <v>138</v>
      </c>
      <c r="TKT4" s="94" t="s">
        <v>138</v>
      </c>
      <c r="TLZ4" s="94" t="s">
        <v>138</v>
      </c>
      <c r="TNF4" s="94" t="s">
        <v>138</v>
      </c>
      <c r="TOL4" s="94" t="s">
        <v>138</v>
      </c>
      <c r="TPR4" s="94" t="s">
        <v>138</v>
      </c>
      <c r="TQX4" s="94" t="s">
        <v>138</v>
      </c>
      <c r="TSD4" s="94" t="s">
        <v>138</v>
      </c>
      <c r="TTJ4" s="94" t="s">
        <v>138</v>
      </c>
      <c r="TUP4" s="94" t="s">
        <v>138</v>
      </c>
      <c r="TVV4" s="94" t="s">
        <v>138</v>
      </c>
      <c r="TXB4" s="94" t="s">
        <v>138</v>
      </c>
      <c r="TYH4" s="94" t="s">
        <v>138</v>
      </c>
      <c r="TZN4" s="94" t="s">
        <v>138</v>
      </c>
      <c r="UAT4" s="94" t="s">
        <v>138</v>
      </c>
      <c r="UBZ4" s="94" t="s">
        <v>138</v>
      </c>
      <c r="UDF4" s="94" t="s">
        <v>138</v>
      </c>
      <c r="UEL4" s="94" t="s">
        <v>138</v>
      </c>
      <c r="UFR4" s="94" t="s">
        <v>138</v>
      </c>
      <c r="UGX4" s="94" t="s">
        <v>138</v>
      </c>
      <c r="UID4" s="94" t="s">
        <v>138</v>
      </c>
      <c r="UJJ4" s="94" t="s">
        <v>138</v>
      </c>
      <c r="UKP4" s="94" t="s">
        <v>138</v>
      </c>
      <c r="ULV4" s="94" t="s">
        <v>138</v>
      </c>
      <c r="UNB4" s="94" t="s">
        <v>138</v>
      </c>
      <c r="UOH4" s="94" t="s">
        <v>138</v>
      </c>
      <c r="UPN4" s="94" t="s">
        <v>138</v>
      </c>
      <c r="UQT4" s="94" t="s">
        <v>138</v>
      </c>
      <c r="URZ4" s="94" t="s">
        <v>138</v>
      </c>
      <c r="UTF4" s="94" t="s">
        <v>138</v>
      </c>
      <c r="UUL4" s="94" t="s">
        <v>138</v>
      </c>
      <c r="UVR4" s="94" t="s">
        <v>138</v>
      </c>
      <c r="UWX4" s="94" t="s">
        <v>138</v>
      </c>
      <c r="UYD4" s="94" t="s">
        <v>138</v>
      </c>
      <c r="UZJ4" s="94" t="s">
        <v>138</v>
      </c>
      <c r="VAP4" s="94" t="s">
        <v>138</v>
      </c>
      <c r="VBV4" s="94" t="s">
        <v>138</v>
      </c>
      <c r="VDB4" s="94" t="s">
        <v>138</v>
      </c>
      <c r="VEH4" s="94" t="s">
        <v>138</v>
      </c>
      <c r="VFN4" s="94" t="s">
        <v>138</v>
      </c>
      <c r="VGT4" s="94" t="s">
        <v>138</v>
      </c>
      <c r="VHZ4" s="94" t="s">
        <v>138</v>
      </c>
      <c r="VJF4" s="94" t="s">
        <v>138</v>
      </c>
      <c r="VKL4" s="94" t="s">
        <v>138</v>
      </c>
      <c r="VLR4" s="94" t="s">
        <v>138</v>
      </c>
      <c r="VMX4" s="94" t="s">
        <v>138</v>
      </c>
      <c r="VOD4" s="94" t="s">
        <v>138</v>
      </c>
      <c r="VPJ4" s="94" t="s">
        <v>138</v>
      </c>
      <c r="VQP4" s="94" t="s">
        <v>138</v>
      </c>
      <c r="VRV4" s="94" t="s">
        <v>138</v>
      </c>
      <c r="VTB4" s="94" t="s">
        <v>138</v>
      </c>
      <c r="VUH4" s="94" t="s">
        <v>138</v>
      </c>
      <c r="VVN4" s="94" t="s">
        <v>138</v>
      </c>
      <c r="VWT4" s="94" t="s">
        <v>138</v>
      </c>
      <c r="VXZ4" s="94" t="s">
        <v>138</v>
      </c>
      <c r="VZF4" s="94" t="s">
        <v>138</v>
      </c>
      <c r="WAL4" s="94" t="s">
        <v>138</v>
      </c>
      <c r="WBR4" s="94" t="s">
        <v>138</v>
      </c>
      <c r="WCX4" s="94" t="s">
        <v>138</v>
      </c>
      <c r="WED4" s="94" t="s">
        <v>138</v>
      </c>
      <c r="WFJ4" s="94" t="s">
        <v>138</v>
      </c>
      <c r="WGP4" s="94" t="s">
        <v>138</v>
      </c>
      <c r="WHV4" s="94" t="s">
        <v>138</v>
      </c>
      <c r="WJB4" s="94" t="s">
        <v>138</v>
      </c>
      <c r="WKH4" s="94" t="s">
        <v>138</v>
      </c>
      <c r="WLN4" s="94" t="s">
        <v>138</v>
      </c>
      <c r="WMT4" s="94" t="s">
        <v>138</v>
      </c>
      <c r="WNZ4" s="94" t="s">
        <v>138</v>
      </c>
      <c r="WPF4" s="94" t="s">
        <v>138</v>
      </c>
      <c r="WQL4" s="94" t="s">
        <v>138</v>
      </c>
      <c r="WRR4" s="94" t="s">
        <v>138</v>
      </c>
      <c r="WSX4" s="94" t="s">
        <v>138</v>
      </c>
      <c r="WUD4" s="94" t="s">
        <v>138</v>
      </c>
      <c r="WVJ4" s="94" t="s">
        <v>138</v>
      </c>
      <c r="WWP4" s="94" t="s">
        <v>138</v>
      </c>
      <c r="WXV4" s="94" t="s">
        <v>138</v>
      </c>
      <c r="WZB4" s="94" t="s">
        <v>138</v>
      </c>
      <c r="XAH4" s="94" t="s">
        <v>138</v>
      </c>
      <c r="XBN4" s="94" t="s">
        <v>138</v>
      </c>
      <c r="XCT4" s="94" t="s">
        <v>138</v>
      </c>
      <c r="XDZ4" s="94" t="s">
        <v>138</v>
      </c>
    </row>
    <row r="5" spans="2:1007 1026:2031 2050:3055 3074:4079 4098:5103 5122:6127 6146:7151 7170:8175 8194:9199 9218:10223 10242:11247 11266:12271 12290:13295 13314:14319 14338:15343 15362:16367" s="94" customFormat="1" ht="15" thickBot="1">
      <c r="L5" s="112"/>
      <c r="M5" s="112"/>
      <c r="N5" s="112"/>
      <c r="O5" s="112"/>
      <c r="P5" s="112"/>
      <c r="Q5" s="112"/>
    </row>
    <row r="6" spans="2:1007 1026:2031 2050:3055 3074:4079 4098:5103 5122:6127 6146:7151 7170:8175 8194:9199 9218:10223 10242:11247 11266:12271 12290:13295 13314:14319 14338:15343 15362:16367" s="94" customFormat="1" ht="16.3" thickBot="1">
      <c r="D6" s="107" t="s">
        <v>61</v>
      </c>
      <c r="E6" s="108" t="s">
        <v>2</v>
      </c>
      <c r="F6" s="108" t="s">
        <v>3</v>
      </c>
      <c r="G6" s="108" t="s">
        <v>4</v>
      </c>
      <c r="H6" s="108" t="s">
        <v>70</v>
      </c>
      <c r="I6" s="108" t="s">
        <v>71</v>
      </c>
      <c r="J6" s="108" t="s">
        <v>37</v>
      </c>
      <c r="L6" s="112"/>
      <c r="M6" s="112"/>
      <c r="N6" s="113"/>
      <c r="O6" s="113"/>
      <c r="P6" s="112"/>
      <c r="Q6" s="112"/>
      <c r="AJ6" s="107" t="s">
        <v>61</v>
      </c>
      <c r="AK6" s="108" t="s">
        <v>2</v>
      </c>
      <c r="AL6" s="108" t="s">
        <v>3</v>
      </c>
      <c r="AM6" s="108" t="s">
        <v>4</v>
      </c>
      <c r="AN6" s="108" t="s">
        <v>70</v>
      </c>
      <c r="AO6" s="108" t="s">
        <v>71</v>
      </c>
      <c r="AP6" s="108" t="s">
        <v>37</v>
      </c>
      <c r="AT6" s="109" t="s">
        <v>139</v>
      </c>
      <c r="AU6" s="109" t="s">
        <v>140</v>
      </c>
      <c r="BP6" s="107" t="s">
        <v>61</v>
      </c>
      <c r="BQ6" s="108" t="s">
        <v>2</v>
      </c>
      <c r="BR6" s="108" t="s">
        <v>3</v>
      </c>
      <c r="BS6" s="108" t="s">
        <v>4</v>
      </c>
      <c r="BT6" s="108" t="s">
        <v>70</v>
      </c>
      <c r="BU6" s="108" t="s">
        <v>71</v>
      </c>
      <c r="BV6" s="108" t="s">
        <v>37</v>
      </c>
      <c r="BZ6" s="109" t="s">
        <v>139</v>
      </c>
      <c r="CA6" s="109" t="s">
        <v>140</v>
      </c>
      <c r="CV6" s="107" t="s">
        <v>61</v>
      </c>
      <c r="CW6" s="108" t="s">
        <v>2</v>
      </c>
      <c r="CX6" s="108" t="s">
        <v>3</v>
      </c>
      <c r="CY6" s="108" t="s">
        <v>4</v>
      </c>
      <c r="CZ6" s="108" t="s">
        <v>70</v>
      </c>
      <c r="DA6" s="108" t="s">
        <v>71</v>
      </c>
      <c r="DB6" s="108" t="s">
        <v>37</v>
      </c>
      <c r="DF6" s="109" t="s">
        <v>139</v>
      </c>
      <c r="DG6" s="109" t="s">
        <v>140</v>
      </c>
      <c r="EB6" s="107" t="s">
        <v>61</v>
      </c>
      <c r="EC6" s="108" t="s">
        <v>2</v>
      </c>
      <c r="ED6" s="108" t="s">
        <v>3</v>
      </c>
      <c r="EE6" s="108" t="s">
        <v>4</v>
      </c>
      <c r="EF6" s="108" t="s">
        <v>70</v>
      </c>
      <c r="EG6" s="108" t="s">
        <v>71</v>
      </c>
      <c r="EH6" s="108" t="s">
        <v>37</v>
      </c>
      <c r="EL6" s="109" t="s">
        <v>139</v>
      </c>
      <c r="EM6" s="109" t="s">
        <v>140</v>
      </c>
      <c r="FH6" s="107" t="s">
        <v>61</v>
      </c>
      <c r="FI6" s="108" t="s">
        <v>2</v>
      </c>
      <c r="FJ6" s="108" t="s">
        <v>3</v>
      </c>
      <c r="FK6" s="108" t="s">
        <v>4</v>
      </c>
      <c r="FL6" s="108" t="s">
        <v>70</v>
      </c>
      <c r="FM6" s="108" t="s">
        <v>71</v>
      </c>
      <c r="FN6" s="108" t="s">
        <v>37</v>
      </c>
      <c r="FR6" s="109" t="s">
        <v>139</v>
      </c>
      <c r="FS6" s="109" t="s">
        <v>140</v>
      </c>
      <c r="GN6" s="107" t="s">
        <v>61</v>
      </c>
      <c r="GO6" s="108" t="s">
        <v>2</v>
      </c>
      <c r="GP6" s="108" t="s">
        <v>3</v>
      </c>
      <c r="GQ6" s="108" t="s">
        <v>4</v>
      </c>
      <c r="GR6" s="108" t="s">
        <v>70</v>
      </c>
      <c r="GS6" s="108" t="s">
        <v>71</v>
      </c>
      <c r="GT6" s="108" t="s">
        <v>37</v>
      </c>
      <c r="GX6" s="109" t="s">
        <v>139</v>
      </c>
      <c r="GY6" s="109" t="s">
        <v>140</v>
      </c>
      <c r="HT6" s="107" t="s">
        <v>61</v>
      </c>
      <c r="HU6" s="108" t="s">
        <v>2</v>
      </c>
      <c r="HV6" s="108" t="s">
        <v>3</v>
      </c>
      <c r="HW6" s="108" t="s">
        <v>4</v>
      </c>
      <c r="HX6" s="108" t="s">
        <v>70</v>
      </c>
      <c r="HY6" s="108" t="s">
        <v>71</v>
      </c>
      <c r="HZ6" s="108" t="s">
        <v>37</v>
      </c>
      <c r="ID6" s="109" t="s">
        <v>139</v>
      </c>
      <c r="IE6" s="109" t="s">
        <v>140</v>
      </c>
      <c r="IZ6" s="107" t="s">
        <v>61</v>
      </c>
      <c r="JA6" s="108" t="s">
        <v>2</v>
      </c>
      <c r="JB6" s="108" t="s">
        <v>3</v>
      </c>
      <c r="JC6" s="108" t="s">
        <v>4</v>
      </c>
      <c r="JD6" s="108" t="s">
        <v>70</v>
      </c>
      <c r="JE6" s="108" t="s">
        <v>71</v>
      </c>
      <c r="JF6" s="108" t="s">
        <v>37</v>
      </c>
      <c r="JJ6" s="109" t="s">
        <v>139</v>
      </c>
      <c r="JK6" s="109" t="s">
        <v>140</v>
      </c>
      <c r="KF6" s="107" t="s">
        <v>61</v>
      </c>
      <c r="KG6" s="108" t="s">
        <v>2</v>
      </c>
      <c r="KH6" s="108" t="s">
        <v>3</v>
      </c>
      <c r="KI6" s="108" t="s">
        <v>4</v>
      </c>
      <c r="KJ6" s="108" t="s">
        <v>70</v>
      </c>
      <c r="KK6" s="108" t="s">
        <v>71</v>
      </c>
      <c r="KL6" s="108" t="s">
        <v>37</v>
      </c>
      <c r="KP6" s="109" t="s">
        <v>139</v>
      </c>
      <c r="KQ6" s="109" t="s">
        <v>140</v>
      </c>
      <c r="LL6" s="107" t="s">
        <v>61</v>
      </c>
      <c r="LM6" s="108" t="s">
        <v>2</v>
      </c>
      <c r="LN6" s="108" t="s">
        <v>3</v>
      </c>
      <c r="LO6" s="108" t="s">
        <v>4</v>
      </c>
      <c r="LP6" s="108" t="s">
        <v>70</v>
      </c>
      <c r="LQ6" s="108" t="s">
        <v>71</v>
      </c>
      <c r="LR6" s="108" t="s">
        <v>37</v>
      </c>
      <c r="LV6" s="109" t="s">
        <v>139</v>
      </c>
      <c r="LW6" s="109" t="s">
        <v>140</v>
      </c>
      <c r="MR6" s="107" t="s">
        <v>61</v>
      </c>
      <c r="MS6" s="108" t="s">
        <v>2</v>
      </c>
      <c r="MT6" s="108" t="s">
        <v>3</v>
      </c>
      <c r="MU6" s="108" t="s">
        <v>4</v>
      </c>
      <c r="MV6" s="108" t="s">
        <v>70</v>
      </c>
      <c r="MW6" s="108" t="s">
        <v>71</v>
      </c>
      <c r="MX6" s="108" t="s">
        <v>37</v>
      </c>
      <c r="NB6" s="109" t="s">
        <v>139</v>
      </c>
      <c r="NC6" s="109" t="s">
        <v>140</v>
      </c>
      <c r="NX6" s="107" t="s">
        <v>61</v>
      </c>
      <c r="NY6" s="108" t="s">
        <v>2</v>
      </c>
      <c r="NZ6" s="108" t="s">
        <v>3</v>
      </c>
      <c r="OA6" s="108" t="s">
        <v>4</v>
      </c>
      <c r="OB6" s="108" t="s">
        <v>70</v>
      </c>
      <c r="OC6" s="108" t="s">
        <v>71</v>
      </c>
      <c r="OD6" s="108" t="s">
        <v>37</v>
      </c>
      <c r="OH6" s="109" t="s">
        <v>139</v>
      </c>
      <c r="OI6" s="109" t="s">
        <v>140</v>
      </c>
      <c r="PD6" s="107" t="s">
        <v>61</v>
      </c>
      <c r="PE6" s="108" t="s">
        <v>2</v>
      </c>
      <c r="PF6" s="108" t="s">
        <v>3</v>
      </c>
      <c r="PG6" s="108" t="s">
        <v>4</v>
      </c>
      <c r="PH6" s="108" t="s">
        <v>70</v>
      </c>
      <c r="PI6" s="108" t="s">
        <v>71</v>
      </c>
      <c r="PJ6" s="108" t="s">
        <v>37</v>
      </c>
      <c r="PN6" s="109" t="s">
        <v>139</v>
      </c>
      <c r="PO6" s="109" t="s">
        <v>140</v>
      </c>
      <c r="QJ6" s="107" t="s">
        <v>61</v>
      </c>
      <c r="QK6" s="108" t="s">
        <v>2</v>
      </c>
      <c r="QL6" s="108" t="s">
        <v>3</v>
      </c>
      <c r="QM6" s="108" t="s">
        <v>4</v>
      </c>
      <c r="QN6" s="108" t="s">
        <v>70</v>
      </c>
      <c r="QO6" s="108" t="s">
        <v>71</v>
      </c>
      <c r="QP6" s="108" t="s">
        <v>37</v>
      </c>
      <c r="QT6" s="109" t="s">
        <v>139</v>
      </c>
      <c r="QU6" s="109" t="s">
        <v>140</v>
      </c>
      <c r="RP6" s="107" t="s">
        <v>61</v>
      </c>
      <c r="RQ6" s="108" t="s">
        <v>2</v>
      </c>
      <c r="RR6" s="108" t="s">
        <v>3</v>
      </c>
      <c r="RS6" s="108" t="s">
        <v>4</v>
      </c>
      <c r="RT6" s="108" t="s">
        <v>70</v>
      </c>
      <c r="RU6" s="108" t="s">
        <v>71</v>
      </c>
      <c r="RV6" s="108" t="s">
        <v>37</v>
      </c>
      <c r="RZ6" s="109" t="s">
        <v>139</v>
      </c>
      <c r="SA6" s="109" t="s">
        <v>140</v>
      </c>
      <c r="SV6" s="107" t="s">
        <v>61</v>
      </c>
      <c r="SW6" s="108" t="s">
        <v>2</v>
      </c>
      <c r="SX6" s="108" t="s">
        <v>3</v>
      </c>
      <c r="SY6" s="108" t="s">
        <v>4</v>
      </c>
      <c r="SZ6" s="108" t="s">
        <v>70</v>
      </c>
      <c r="TA6" s="108" t="s">
        <v>71</v>
      </c>
      <c r="TB6" s="108" t="s">
        <v>37</v>
      </c>
      <c r="TF6" s="109" t="s">
        <v>139</v>
      </c>
      <c r="TG6" s="109" t="s">
        <v>140</v>
      </c>
      <c r="UB6" s="107" t="s">
        <v>61</v>
      </c>
      <c r="UC6" s="108" t="s">
        <v>2</v>
      </c>
      <c r="UD6" s="108" t="s">
        <v>3</v>
      </c>
      <c r="UE6" s="108" t="s">
        <v>4</v>
      </c>
      <c r="UF6" s="108" t="s">
        <v>70</v>
      </c>
      <c r="UG6" s="108" t="s">
        <v>71</v>
      </c>
      <c r="UH6" s="108" t="s">
        <v>37</v>
      </c>
      <c r="UL6" s="109" t="s">
        <v>139</v>
      </c>
      <c r="UM6" s="109" t="s">
        <v>140</v>
      </c>
      <c r="VH6" s="107" t="s">
        <v>61</v>
      </c>
      <c r="VI6" s="108" t="s">
        <v>2</v>
      </c>
      <c r="VJ6" s="108" t="s">
        <v>3</v>
      </c>
      <c r="VK6" s="108" t="s">
        <v>4</v>
      </c>
      <c r="VL6" s="108" t="s">
        <v>70</v>
      </c>
      <c r="VM6" s="108" t="s">
        <v>71</v>
      </c>
      <c r="VN6" s="108" t="s">
        <v>37</v>
      </c>
      <c r="VR6" s="109" t="s">
        <v>139</v>
      </c>
      <c r="VS6" s="109" t="s">
        <v>140</v>
      </c>
      <c r="WN6" s="107" t="s">
        <v>61</v>
      </c>
      <c r="WO6" s="108" t="s">
        <v>2</v>
      </c>
      <c r="WP6" s="108" t="s">
        <v>3</v>
      </c>
      <c r="WQ6" s="108" t="s">
        <v>4</v>
      </c>
      <c r="WR6" s="108" t="s">
        <v>70</v>
      </c>
      <c r="WS6" s="108" t="s">
        <v>71</v>
      </c>
      <c r="WT6" s="108" t="s">
        <v>37</v>
      </c>
      <c r="WX6" s="109" t="s">
        <v>139</v>
      </c>
      <c r="WY6" s="109" t="s">
        <v>140</v>
      </c>
      <c r="XT6" s="107" t="s">
        <v>61</v>
      </c>
      <c r="XU6" s="108" t="s">
        <v>2</v>
      </c>
      <c r="XV6" s="108" t="s">
        <v>3</v>
      </c>
      <c r="XW6" s="108" t="s">
        <v>4</v>
      </c>
      <c r="XX6" s="108" t="s">
        <v>70</v>
      </c>
      <c r="XY6" s="108" t="s">
        <v>71</v>
      </c>
      <c r="XZ6" s="108" t="s">
        <v>37</v>
      </c>
      <c r="YD6" s="109" t="s">
        <v>139</v>
      </c>
      <c r="YE6" s="109" t="s">
        <v>140</v>
      </c>
      <c r="YZ6" s="107" t="s">
        <v>61</v>
      </c>
      <c r="ZA6" s="108" t="s">
        <v>2</v>
      </c>
      <c r="ZB6" s="108" t="s">
        <v>3</v>
      </c>
      <c r="ZC6" s="108" t="s">
        <v>4</v>
      </c>
      <c r="ZD6" s="108" t="s">
        <v>70</v>
      </c>
      <c r="ZE6" s="108" t="s">
        <v>71</v>
      </c>
      <c r="ZF6" s="108" t="s">
        <v>37</v>
      </c>
      <c r="ZJ6" s="109" t="s">
        <v>139</v>
      </c>
      <c r="ZK6" s="109" t="s">
        <v>140</v>
      </c>
      <c r="AAF6" s="107" t="s">
        <v>61</v>
      </c>
      <c r="AAG6" s="108" t="s">
        <v>2</v>
      </c>
      <c r="AAH6" s="108" t="s">
        <v>3</v>
      </c>
      <c r="AAI6" s="108" t="s">
        <v>4</v>
      </c>
      <c r="AAJ6" s="108" t="s">
        <v>70</v>
      </c>
      <c r="AAK6" s="108" t="s">
        <v>71</v>
      </c>
      <c r="AAL6" s="108" t="s">
        <v>37</v>
      </c>
      <c r="AAP6" s="109" t="s">
        <v>139</v>
      </c>
      <c r="AAQ6" s="109" t="s">
        <v>140</v>
      </c>
      <c r="ABL6" s="107" t="s">
        <v>61</v>
      </c>
      <c r="ABM6" s="108" t="s">
        <v>2</v>
      </c>
      <c r="ABN6" s="108" t="s">
        <v>3</v>
      </c>
      <c r="ABO6" s="108" t="s">
        <v>4</v>
      </c>
      <c r="ABP6" s="108" t="s">
        <v>70</v>
      </c>
      <c r="ABQ6" s="108" t="s">
        <v>71</v>
      </c>
      <c r="ABR6" s="108" t="s">
        <v>37</v>
      </c>
      <c r="ABV6" s="109" t="s">
        <v>139</v>
      </c>
      <c r="ABW6" s="109" t="s">
        <v>140</v>
      </c>
      <c r="ACR6" s="107" t="s">
        <v>61</v>
      </c>
      <c r="ACS6" s="108" t="s">
        <v>2</v>
      </c>
      <c r="ACT6" s="108" t="s">
        <v>3</v>
      </c>
      <c r="ACU6" s="108" t="s">
        <v>4</v>
      </c>
      <c r="ACV6" s="108" t="s">
        <v>70</v>
      </c>
      <c r="ACW6" s="108" t="s">
        <v>71</v>
      </c>
      <c r="ACX6" s="108" t="s">
        <v>37</v>
      </c>
      <c r="ADB6" s="109" t="s">
        <v>139</v>
      </c>
      <c r="ADC6" s="109" t="s">
        <v>140</v>
      </c>
      <c r="ADX6" s="107" t="s">
        <v>61</v>
      </c>
      <c r="ADY6" s="108" t="s">
        <v>2</v>
      </c>
      <c r="ADZ6" s="108" t="s">
        <v>3</v>
      </c>
      <c r="AEA6" s="108" t="s">
        <v>4</v>
      </c>
      <c r="AEB6" s="108" t="s">
        <v>70</v>
      </c>
      <c r="AEC6" s="108" t="s">
        <v>71</v>
      </c>
      <c r="AED6" s="108" t="s">
        <v>37</v>
      </c>
      <c r="AEH6" s="109" t="s">
        <v>139</v>
      </c>
      <c r="AEI6" s="109" t="s">
        <v>140</v>
      </c>
      <c r="AFD6" s="107" t="s">
        <v>61</v>
      </c>
      <c r="AFE6" s="108" t="s">
        <v>2</v>
      </c>
      <c r="AFF6" s="108" t="s">
        <v>3</v>
      </c>
      <c r="AFG6" s="108" t="s">
        <v>4</v>
      </c>
      <c r="AFH6" s="108" t="s">
        <v>70</v>
      </c>
      <c r="AFI6" s="108" t="s">
        <v>71</v>
      </c>
      <c r="AFJ6" s="108" t="s">
        <v>37</v>
      </c>
      <c r="AFN6" s="109" t="s">
        <v>139</v>
      </c>
      <c r="AFO6" s="109" t="s">
        <v>140</v>
      </c>
      <c r="AGJ6" s="107" t="s">
        <v>61</v>
      </c>
      <c r="AGK6" s="108" t="s">
        <v>2</v>
      </c>
      <c r="AGL6" s="108" t="s">
        <v>3</v>
      </c>
      <c r="AGM6" s="108" t="s">
        <v>4</v>
      </c>
      <c r="AGN6" s="108" t="s">
        <v>70</v>
      </c>
      <c r="AGO6" s="108" t="s">
        <v>71</v>
      </c>
      <c r="AGP6" s="108" t="s">
        <v>37</v>
      </c>
      <c r="AGT6" s="109" t="s">
        <v>139</v>
      </c>
      <c r="AGU6" s="109" t="s">
        <v>140</v>
      </c>
      <c r="AHP6" s="107" t="s">
        <v>61</v>
      </c>
      <c r="AHQ6" s="108" t="s">
        <v>2</v>
      </c>
      <c r="AHR6" s="108" t="s">
        <v>3</v>
      </c>
      <c r="AHS6" s="108" t="s">
        <v>4</v>
      </c>
      <c r="AHT6" s="108" t="s">
        <v>70</v>
      </c>
      <c r="AHU6" s="108" t="s">
        <v>71</v>
      </c>
      <c r="AHV6" s="108" t="s">
        <v>37</v>
      </c>
      <c r="AHZ6" s="109" t="s">
        <v>139</v>
      </c>
      <c r="AIA6" s="109" t="s">
        <v>140</v>
      </c>
      <c r="AIV6" s="107" t="s">
        <v>61</v>
      </c>
      <c r="AIW6" s="108" t="s">
        <v>2</v>
      </c>
      <c r="AIX6" s="108" t="s">
        <v>3</v>
      </c>
      <c r="AIY6" s="108" t="s">
        <v>4</v>
      </c>
      <c r="AIZ6" s="108" t="s">
        <v>70</v>
      </c>
      <c r="AJA6" s="108" t="s">
        <v>71</v>
      </c>
      <c r="AJB6" s="108" t="s">
        <v>37</v>
      </c>
      <c r="AJF6" s="109" t="s">
        <v>139</v>
      </c>
      <c r="AJG6" s="109" t="s">
        <v>140</v>
      </c>
      <c r="AKB6" s="107" t="s">
        <v>61</v>
      </c>
      <c r="AKC6" s="108" t="s">
        <v>2</v>
      </c>
      <c r="AKD6" s="108" t="s">
        <v>3</v>
      </c>
      <c r="AKE6" s="108" t="s">
        <v>4</v>
      </c>
      <c r="AKF6" s="108" t="s">
        <v>70</v>
      </c>
      <c r="AKG6" s="108" t="s">
        <v>71</v>
      </c>
      <c r="AKH6" s="108" t="s">
        <v>37</v>
      </c>
      <c r="AKL6" s="109" t="s">
        <v>139</v>
      </c>
      <c r="AKM6" s="109" t="s">
        <v>140</v>
      </c>
      <c r="ALH6" s="107" t="s">
        <v>61</v>
      </c>
      <c r="ALI6" s="108" t="s">
        <v>2</v>
      </c>
      <c r="ALJ6" s="108" t="s">
        <v>3</v>
      </c>
      <c r="ALK6" s="108" t="s">
        <v>4</v>
      </c>
      <c r="ALL6" s="108" t="s">
        <v>70</v>
      </c>
      <c r="ALM6" s="108" t="s">
        <v>71</v>
      </c>
      <c r="ALN6" s="108" t="s">
        <v>37</v>
      </c>
      <c r="ALR6" s="109" t="s">
        <v>139</v>
      </c>
      <c r="ALS6" s="109" t="s">
        <v>140</v>
      </c>
      <c r="AMN6" s="107" t="s">
        <v>61</v>
      </c>
      <c r="AMO6" s="108" t="s">
        <v>2</v>
      </c>
      <c r="AMP6" s="108" t="s">
        <v>3</v>
      </c>
      <c r="AMQ6" s="108" t="s">
        <v>4</v>
      </c>
      <c r="AMR6" s="108" t="s">
        <v>70</v>
      </c>
      <c r="AMS6" s="108" t="s">
        <v>71</v>
      </c>
      <c r="AMT6" s="108" t="s">
        <v>37</v>
      </c>
      <c r="AMX6" s="109" t="s">
        <v>139</v>
      </c>
      <c r="AMY6" s="109" t="s">
        <v>140</v>
      </c>
      <c r="ANT6" s="107" t="s">
        <v>61</v>
      </c>
      <c r="ANU6" s="108" t="s">
        <v>2</v>
      </c>
      <c r="ANV6" s="108" t="s">
        <v>3</v>
      </c>
      <c r="ANW6" s="108" t="s">
        <v>4</v>
      </c>
      <c r="ANX6" s="108" t="s">
        <v>70</v>
      </c>
      <c r="ANY6" s="108" t="s">
        <v>71</v>
      </c>
      <c r="ANZ6" s="108" t="s">
        <v>37</v>
      </c>
      <c r="AOD6" s="109" t="s">
        <v>139</v>
      </c>
      <c r="AOE6" s="109" t="s">
        <v>140</v>
      </c>
      <c r="AOZ6" s="107" t="s">
        <v>61</v>
      </c>
      <c r="APA6" s="108" t="s">
        <v>2</v>
      </c>
      <c r="APB6" s="108" t="s">
        <v>3</v>
      </c>
      <c r="APC6" s="108" t="s">
        <v>4</v>
      </c>
      <c r="APD6" s="108" t="s">
        <v>70</v>
      </c>
      <c r="APE6" s="108" t="s">
        <v>71</v>
      </c>
      <c r="APF6" s="108" t="s">
        <v>37</v>
      </c>
      <c r="APJ6" s="109" t="s">
        <v>139</v>
      </c>
      <c r="APK6" s="109" t="s">
        <v>140</v>
      </c>
      <c r="AQF6" s="107" t="s">
        <v>61</v>
      </c>
      <c r="AQG6" s="108" t="s">
        <v>2</v>
      </c>
      <c r="AQH6" s="108" t="s">
        <v>3</v>
      </c>
      <c r="AQI6" s="108" t="s">
        <v>4</v>
      </c>
      <c r="AQJ6" s="108" t="s">
        <v>70</v>
      </c>
      <c r="AQK6" s="108" t="s">
        <v>71</v>
      </c>
      <c r="AQL6" s="108" t="s">
        <v>37</v>
      </c>
      <c r="AQP6" s="109" t="s">
        <v>139</v>
      </c>
      <c r="AQQ6" s="109" t="s">
        <v>140</v>
      </c>
      <c r="ARL6" s="107" t="s">
        <v>61</v>
      </c>
      <c r="ARM6" s="108" t="s">
        <v>2</v>
      </c>
      <c r="ARN6" s="108" t="s">
        <v>3</v>
      </c>
      <c r="ARO6" s="108" t="s">
        <v>4</v>
      </c>
      <c r="ARP6" s="108" t="s">
        <v>70</v>
      </c>
      <c r="ARQ6" s="108" t="s">
        <v>71</v>
      </c>
      <c r="ARR6" s="108" t="s">
        <v>37</v>
      </c>
      <c r="ARV6" s="109" t="s">
        <v>139</v>
      </c>
      <c r="ARW6" s="109" t="s">
        <v>140</v>
      </c>
      <c r="ASR6" s="107" t="s">
        <v>61</v>
      </c>
      <c r="ASS6" s="108" t="s">
        <v>2</v>
      </c>
      <c r="AST6" s="108" t="s">
        <v>3</v>
      </c>
      <c r="ASU6" s="108" t="s">
        <v>4</v>
      </c>
      <c r="ASV6" s="108" t="s">
        <v>70</v>
      </c>
      <c r="ASW6" s="108" t="s">
        <v>71</v>
      </c>
      <c r="ASX6" s="108" t="s">
        <v>37</v>
      </c>
      <c r="ATB6" s="109" t="s">
        <v>139</v>
      </c>
      <c r="ATC6" s="109" t="s">
        <v>140</v>
      </c>
      <c r="ATX6" s="107" t="s">
        <v>61</v>
      </c>
      <c r="ATY6" s="108" t="s">
        <v>2</v>
      </c>
      <c r="ATZ6" s="108" t="s">
        <v>3</v>
      </c>
      <c r="AUA6" s="108" t="s">
        <v>4</v>
      </c>
      <c r="AUB6" s="108" t="s">
        <v>70</v>
      </c>
      <c r="AUC6" s="108" t="s">
        <v>71</v>
      </c>
      <c r="AUD6" s="108" t="s">
        <v>37</v>
      </c>
      <c r="AUH6" s="109" t="s">
        <v>139</v>
      </c>
      <c r="AUI6" s="109" t="s">
        <v>140</v>
      </c>
      <c r="AVD6" s="107" t="s">
        <v>61</v>
      </c>
      <c r="AVE6" s="108" t="s">
        <v>2</v>
      </c>
      <c r="AVF6" s="108" t="s">
        <v>3</v>
      </c>
      <c r="AVG6" s="108" t="s">
        <v>4</v>
      </c>
      <c r="AVH6" s="108" t="s">
        <v>70</v>
      </c>
      <c r="AVI6" s="108" t="s">
        <v>71</v>
      </c>
      <c r="AVJ6" s="108" t="s">
        <v>37</v>
      </c>
      <c r="AVN6" s="109" t="s">
        <v>139</v>
      </c>
      <c r="AVO6" s="109" t="s">
        <v>140</v>
      </c>
      <c r="AWJ6" s="107" t="s">
        <v>61</v>
      </c>
      <c r="AWK6" s="108" t="s">
        <v>2</v>
      </c>
      <c r="AWL6" s="108" t="s">
        <v>3</v>
      </c>
      <c r="AWM6" s="108" t="s">
        <v>4</v>
      </c>
      <c r="AWN6" s="108" t="s">
        <v>70</v>
      </c>
      <c r="AWO6" s="108" t="s">
        <v>71</v>
      </c>
      <c r="AWP6" s="108" t="s">
        <v>37</v>
      </c>
      <c r="AWT6" s="109" t="s">
        <v>139</v>
      </c>
      <c r="AWU6" s="109" t="s">
        <v>140</v>
      </c>
      <c r="AXP6" s="107" t="s">
        <v>61</v>
      </c>
      <c r="AXQ6" s="108" t="s">
        <v>2</v>
      </c>
      <c r="AXR6" s="108" t="s">
        <v>3</v>
      </c>
      <c r="AXS6" s="108" t="s">
        <v>4</v>
      </c>
      <c r="AXT6" s="108" t="s">
        <v>70</v>
      </c>
      <c r="AXU6" s="108" t="s">
        <v>71</v>
      </c>
      <c r="AXV6" s="108" t="s">
        <v>37</v>
      </c>
      <c r="AXZ6" s="109" t="s">
        <v>139</v>
      </c>
      <c r="AYA6" s="109" t="s">
        <v>140</v>
      </c>
      <c r="AYV6" s="107" t="s">
        <v>61</v>
      </c>
      <c r="AYW6" s="108" t="s">
        <v>2</v>
      </c>
      <c r="AYX6" s="108" t="s">
        <v>3</v>
      </c>
      <c r="AYY6" s="108" t="s">
        <v>4</v>
      </c>
      <c r="AYZ6" s="108" t="s">
        <v>70</v>
      </c>
      <c r="AZA6" s="108" t="s">
        <v>71</v>
      </c>
      <c r="AZB6" s="108" t="s">
        <v>37</v>
      </c>
      <c r="AZF6" s="109" t="s">
        <v>139</v>
      </c>
      <c r="AZG6" s="109" t="s">
        <v>140</v>
      </c>
      <c r="BAB6" s="107" t="s">
        <v>61</v>
      </c>
      <c r="BAC6" s="108" t="s">
        <v>2</v>
      </c>
      <c r="BAD6" s="108" t="s">
        <v>3</v>
      </c>
      <c r="BAE6" s="108" t="s">
        <v>4</v>
      </c>
      <c r="BAF6" s="108" t="s">
        <v>70</v>
      </c>
      <c r="BAG6" s="108" t="s">
        <v>71</v>
      </c>
      <c r="BAH6" s="108" t="s">
        <v>37</v>
      </c>
      <c r="BAL6" s="109" t="s">
        <v>139</v>
      </c>
      <c r="BAM6" s="109" t="s">
        <v>140</v>
      </c>
      <c r="BBH6" s="107" t="s">
        <v>61</v>
      </c>
      <c r="BBI6" s="108" t="s">
        <v>2</v>
      </c>
      <c r="BBJ6" s="108" t="s">
        <v>3</v>
      </c>
      <c r="BBK6" s="108" t="s">
        <v>4</v>
      </c>
      <c r="BBL6" s="108" t="s">
        <v>70</v>
      </c>
      <c r="BBM6" s="108" t="s">
        <v>71</v>
      </c>
      <c r="BBN6" s="108" t="s">
        <v>37</v>
      </c>
      <c r="BBR6" s="109" t="s">
        <v>139</v>
      </c>
      <c r="BBS6" s="109" t="s">
        <v>140</v>
      </c>
      <c r="BCN6" s="107" t="s">
        <v>61</v>
      </c>
      <c r="BCO6" s="108" t="s">
        <v>2</v>
      </c>
      <c r="BCP6" s="108" t="s">
        <v>3</v>
      </c>
      <c r="BCQ6" s="108" t="s">
        <v>4</v>
      </c>
      <c r="BCR6" s="108" t="s">
        <v>70</v>
      </c>
      <c r="BCS6" s="108" t="s">
        <v>71</v>
      </c>
      <c r="BCT6" s="108" t="s">
        <v>37</v>
      </c>
      <c r="BCX6" s="109" t="s">
        <v>139</v>
      </c>
      <c r="BCY6" s="109" t="s">
        <v>140</v>
      </c>
      <c r="BDT6" s="107" t="s">
        <v>61</v>
      </c>
      <c r="BDU6" s="108" t="s">
        <v>2</v>
      </c>
      <c r="BDV6" s="108" t="s">
        <v>3</v>
      </c>
      <c r="BDW6" s="108" t="s">
        <v>4</v>
      </c>
      <c r="BDX6" s="108" t="s">
        <v>70</v>
      </c>
      <c r="BDY6" s="108" t="s">
        <v>71</v>
      </c>
      <c r="BDZ6" s="108" t="s">
        <v>37</v>
      </c>
      <c r="BED6" s="109" t="s">
        <v>139</v>
      </c>
      <c r="BEE6" s="109" t="s">
        <v>140</v>
      </c>
      <c r="BEZ6" s="107" t="s">
        <v>61</v>
      </c>
      <c r="BFA6" s="108" t="s">
        <v>2</v>
      </c>
      <c r="BFB6" s="108" t="s">
        <v>3</v>
      </c>
      <c r="BFC6" s="108" t="s">
        <v>4</v>
      </c>
      <c r="BFD6" s="108" t="s">
        <v>70</v>
      </c>
      <c r="BFE6" s="108" t="s">
        <v>71</v>
      </c>
      <c r="BFF6" s="108" t="s">
        <v>37</v>
      </c>
      <c r="BFJ6" s="109" t="s">
        <v>139</v>
      </c>
      <c r="BFK6" s="109" t="s">
        <v>140</v>
      </c>
      <c r="BGF6" s="107" t="s">
        <v>61</v>
      </c>
      <c r="BGG6" s="108" t="s">
        <v>2</v>
      </c>
      <c r="BGH6" s="108" t="s">
        <v>3</v>
      </c>
      <c r="BGI6" s="108" t="s">
        <v>4</v>
      </c>
      <c r="BGJ6" s="108" t="s">
        <v>70</v>
      </c>
      <c r="BGK6" s="108" t="s">
        <v>71</v>
      </c>
      <c r="BGL6" s="108" t="s">
        <v>37</v>
      </c>
      <c r="BGP6" s="109" t="s">
        <v>139</v>
      </c>
      <c r="BGQ6" s="109" t="s">
        <v>140</v>
      </c>
      <c r="BHL6" s="107" t="s">
        <v>61</v>
      </c>
      <c r="BHM6" s="108" t="s">
        <v>2</v>
      </c>
      <c r="BHN6" s="108" t="s">
        <v>3</v>
      </c>
      <c r="BHO6" s="108" t="s">
        <v>4</v>
      </c>
      <c r="BHP6" s="108" t="s">
        <v>70</v>
      </c>
      <c r="BHQ6" s="108" t="s">
        <v>71</v>
      </c>
      <c r="BHR6" s="108" t="s">
        <v>37</v>
      </c>
      <c r="BHV6" s="109" t="s">
        <v>139</v>
      </c>
      <c r="BHW6" s="109" t="s">
        <v>140</v>
      </c>
      <c r="BIR6" s="107" t="s">
        <v>61</v>
      </c>
      <c r="BIS6" s="108" t="s">
        <v>2</v>
      </c>
      <c r="BIT6" s="108" t="s">
        <v>3</v>
      </c>
      <c r="BIU6" s="108" t="s">
        <v>4</v>
      </c>
      <c r="BIV6" s="108" t="s">
        <v>70</v>
      </c>
      <c r="BIW6" s="108" t="s">
        <v>71</v>
      </c>
      <c r="BIX6" s="108" t="s">
        <v>37</v>
      </c>
      <c r="BJB6" s="109" t="s">
        <v>139</v>
      </c>
      <c r="BJC6" s="109" t="s">
        <v>140</v>
      </c>
      <c r="BJX6" s="107" t="s">
        <v>61</v>
      </c>
      <c r="BJY6" s="108" t="s">
        <v>2</v>
      </c>
      <c r="BJZ6" s="108" t="s">
        <v>3</v>
      </c>
      <c r="BKA6" s="108" t="s">
        <v>4</v>
      </c>
      <c r="BKB6" s="108" t="s">
        <v>70</v>
      </c>
      <c r="BKC6" s="108" t="s">
        <v>71</v>
      </c>
      <c r="BKD6" s="108" t="s">
        <v>37</v>
      </c>
      <c r="BKH6" s="109" t="s">
        <v>139</v>
      </c>
      <c r="BKI6" s="109" t="s">
        <v>140</v>
      </c>
      <c r="BLD6" s="107" t="s">
        <v>61</v>
      </c>
      <c r="BLE6" s="108" t="s">
        <v>2</v>
      </c>
      <c r="BLF6" s="108" t="s">
        <v>3</v>
      </c>
      <c r="BLG6" s="108" t="s">
        <v>4</v>
      </c>
      <c r="BLH6" s="108" t="s">
        <v>70</v>
      </c>
      <c r="BLI6" s="108" t="s">
        <v>71</v>
      </c>
      <c r="BLJ6" s="108" t="s">
        <v>37</v>
      </c>
      <c r="BLN6" s="109" t="s">
        <v>139</v>
      </c>
      <c r="BLO6" s="109" t="s">
        <v>140</v>
      </c>
      <c r="BMJ6" s="107" t="s">
        <v>61</v>
      </c>
      <c r="BMK6" s="108" t="s">
        <v>2</v>
      </c>
      <c r="BML6" s="108" t="s">
        <v>3</v>
      </c>
      <c r="BMM6" s="108" t="s">
        <v>4</v>
      </c>
      <c r="BMN6" s="108" t="s">
        <v>70</v>
      </c>
      <c r="BMO6" s="108" t="s">
        <v>71</v>
      </c>
      <c r="BMP6" s="108" t="s">
        <v>37</v>
      </c>
      <c r="BMT6" s="109" t="s">
        <v>139</v>
      </c>
      <c r="BMU6" s="109" t="s">
        <v>140</v>
      </c>
      <c r="BNP6" s="107" t="s">
        <v>61</v>
      </c>
      <c r="BNQ6" s="108" t="s">
        <v>2</v>
      </c>
      <c r="BNR6" s="108" t="s">
        <v>3</v>
      </c>
      <c r="BNS6" s="108" t="s">
        <v>4</v>
      </c>
      <c r="BNT6" s="108" t="s">
        <v>70</v>
      </c>
      <c r="BNU6" s="108" t="s">
        <v>71</v>
      </c>
      <c r="BNV6" s="108" t="s">
        <v>37</v>
      </c>
      <c r="BNZ6" s="109" t="s">
        <v>139</v>
      </c>
      <c r="BOA6" s="109" t="s">
        <v>140</v>
      </c>
      <c r="BOV6" s="107" t="s">
        <v>61</v>
      </c>
      <c r="BOW6" s="108" t="s">
        <v>2</v>
      </c>
      <c r="BOX6" s="108" t="s">
        <v>3</v>
      </c>
      <c r="BOY6" s="108" t="s">
        <v>4</v>
      </c>
      <c r="BOZ6" s="108" t="s">
        <v>70</v>
      </c>
      <c r="BPA6" s="108" t="s">
        <v>71</v>
      </c>
      <c r="BPB6" s="108" t="s">
        <v>37</v>
      </c>
      <c r="BPF6" s="109" t="s">
        <v>139</v>
      </c>
      <c r="BPG6" s="109" t="s">
        <v>140</v>
      </c>
      <c r="BQB6" s="107" t="s">
        <v>61</v>
      </c>
      <c r="BQC6" s="108" t="s">
        <v>2</v>
      </c>
      <c r="BQD6" s="108" t="s">
        <v>3</v>
      </c>
      <c r="BQE6" s="108" t="s">
        <v>4</v>
      </c>
      <c r="BQF6" s="108" t="s">
        <v>70</v>
      </c>
      <c r="BQG6" s="108" t="s">
        <v>71</v>
      </c>
      <c r="BQH6" s="108" t="s">
        <v>37</v>
      </c>
      <c r="BQL6" s="109" t="s">
        <v>139</v>
      </c>
      <c r="BQM6" s="109" t="s">
        <v>140</v>
      </c>
      <c r="BRH6" s="107" t="s">
        <v>61</v>
      </c>
      <c r="BRI6" s="108" t="s">
        <v>2</v>
      </c>
      <c r="BRJ6" s="108" t="s">
        <v>3</v>
      </c>
      <c r="BRK6" s="108" t="s">
        <v>4</v>
      </c>
      <c r="BRL6" s="108" t="s">
        <v>70</v>
      </c>
      <c r="BRM6" s="108" t="s">
        <v>71</v>
      </c>
      <c r="BRN6" s="108" t="s">
        <v>37</v>
      </c>
      <c r="BRR6" s="109" t="s">
        <v>139</v>
      </c>
      <c r="BRS6" s="109" t="s">
        <v>140</v>
      </c>
      <c r="BSN6" s="107" t="s">
        <v>61</v>
      </c>
      <c r="BSO6" s="108" t="s">
        <v>2</v>
      </c>
      <c r="BSP6" s="108" t="s">
        <v>3</v>
      </c>
      <c r="BSQ6" s="108" t="s">
        <v>4</v>
      </c>
      <c r="BSR6" s="108" t="s">
        <v>70</v>
      </c>
      <c r="BSS6" s="108" t="s">
        <v>71</v>
      </c>
      <c r="BST6" s="108" t="s">
        <v>37</v>
      </c>
      <c r="BSX6" s="109" t="s">
        <v>139</v>
      </c>
      <c r="BSY6" s="109" t="s">
        <v>140</v>
      </c>
      <c r="BTT6" s="107" t="s">
        <v>61</v>
      </c>
      <c r="BTU6" s="108" t="s">
        <v>2</v>
      </c>
      <c r="BTV6" s="108" t="s">
        <v>3</v>
      </c>
      <c r="BTW6" s="108" t="s">
        <v>4</v>
      </c>
      <c r="BTX6" s="108" t="s">
        <v>70</v>
      </c>
      <c r="BTY6" s="108" t="s">
        <v>71</v>
      </c>
      <c r="BTZ6" s="108" t="s">
        <v>37</v>
      </c>
      <c r="BUD6" s="109" t="s">
        <v>139</v>
      </c>
      <c r="BUE6" s="109" t="s">
        <v>140</v>
      </c>
      <c r="BUZ6" s="107" t="s">
        <v>61</v>
      </c>
      <c r="BVA6" s="108" t="s">
        <v>2</v>
      </c>
      <c r="BVB6" s="108" t="s">
        <v>3</v>
      </c>
      <c r="BVC6" s="108" t="s">
        <v>4</v>
      </c>
      <c r="BVD6" s="108" t="s">
        <v>70</v>
      </c>
      <c r="BVE6" s="108" t="s">
        <v>71</v>
      </c>
      <c r="BVF6" s="108" t="s">
        <v>37</v>
      </c>
      <c r="BVJ6" s="109" t="s">
        <v>139</v>
      </c>
      <c r="BVK6" s="109" t="s">
        <v>140</v>
      </c>
      <c r="BWF6" s="107" t="s">
        <v>61</v>
      </c>
      <c r="BWG6" s="108" t="s">
        <v>2</v>
      </c>
      <c r="BWH6" s="108" t="s">
        <v>3</v>
      </c>
      <c r="BWI6" s="108" t="s">
        <v>4</v>
      </c>
      <c r="BWJ6" s="108" t="s">
        <v>70</v>
      </c>
      <c r="BWK6" s="108" t="s">
        <v>71</v>
      </c>
      <c r="BWL6" s="108" t="s">
        <v>37</v>
      </c>
      <c r="BWP6" s="109" t="s">
        <v>139</v>
      </c>
      <c r="BWQ6" s="109" t="s">
        <v>140</v>
      </c>
      <c r="BXL6" s="107" t="s">
        <v>61</v>
      </c>
      <c r="BXM6" s="108" t="s">
        <v>2</v>
      </c>
      <c r="BXN6" s="108" t="s">
        <v>3</v>
      </c>
      <c r="BXO6" s="108" t="s">
        <v>4</v>
      </c>
      <c r="BXP6" s="108" t="s">
        <v>70</v>
      </c>
      <c r="BXQ6" s="108" t="s">
        <v>71</v>
      </c>
      <c r="BXR6" s="108" t="s">
        <v>37</v>
      </c>
      <c r="BXV6" s="109" t="s">
        <v>139</v>
      </c>
      <c r="BXW6" s="109" t="s">
        <v>140</v>
      </c>
      <c r="BYR6" s="107" t="s">
        <v>61</v>
      </c>
      <c r="BYS6" s="108" t="s">
        <v>2</v>
      </c>
      <c r="BYT6" s="108" t="s">
        <v>3</v>
      </c>
      <c r="BYU6" s="108" t="s">
        <v>4</v>
      </c>
      <c r="BYV6" s="108" t="s">
        <v>70</v>
      </c>
      <c r="BYW6" s="108" t="s">
        <v>71</v>
      </c>
      <c r="BYX6" s="108" t="s">
        <v>37</v>
      </c>
      <c r="BZB6" s="109" t="s">
        <v>139</v>
      </c>
      <c r="BZC6" s="109" t="s">
        <v>140</v>
      </c>
      <c r="BZX6" s="107" t="s">
        <v>61</v>
      </c>
      <c r="BZY6" s="108" t="s">
        <v>2</v>
      </c>
      <c r="BZZ6" s="108" t="s">
        <v>3</v>
      </c>
      <c r="CAA6" s="108" t="s">
        <v>4</v>
      </c>
      <c r="CAB6" s="108" t="s">
        <v>70</v>
      </c>
      <c r="CAC6" s="108" t="s">
        <v>71</v>
      </c>
      <c r="CAD6" s="108" t="s">
        <v>37</v>
      </c>
      <c r="CAH6" s="109" t="s">
        <v>139</v>
      </c>
      <c r="CAI6" s="109" t="s">
        <v>140</v>
      </c>
      <c r="CBD6" s="107" t="s">
        <v>61</v>
      </c>
      <c r="CBE6" s="108" t="s">
        <v>2</v>
      </c>
      <c r="CBF6" s="108" t="s">
        <v>3</v>
      </c>
      <c r="CBG6" s="108" t="s">
        <v>4</v>
      </c>
      <c r="CBH6" s="108" t="s">
        <v>70</v>
      </c>
      <c r="CBI6" s="108" t="s">
        <v>71</v>
      </c>
      <c r="CBJ6" s="108" t="s">
        <v>37</v>
      </c>
      <c r="CBN6" s="109" t="s">
        <v>139</v>
      </c>
      <c r="CBO6" s="109" t="s">
        <v>140</v>
      </c>
      <c r="CCJ6" s="107" t="s">
        <v>61</v>
      </c>
      <c r="CCK6" s="108" t="s">
        <v>2</v>
      </c>
      <c r="CCL6" s="108" t="s">
        <v>3</v>
      </c>
      <c r="CCM6" s="108" t="s">
        <v>4</v>
      </c>
      <c r="CCN6" s="108" t="s">
        <v>70</v>
      </c>
      <c r="CCO6" s="108" t="s">
        <v>71</v>
      </c>
      <c r="CCP6" s="108" t="s">
        <v>37</v>
      </c>
      <c r="CCT6" s="109" t="s">
        <v>139</v>
      </c>
      <c r="CCU6" s="109" t="s">
        <v>140</v>
      </c>
      <c r="CDP6" s="107" t="s">
        <v>61</v>
      </c>
      <c r="CDQ6" s="108" t="s">
        <v>2</v>
      </c>
      <c r="CDR6" s="108" t="s">
        <v>3</v>
      </c>
      <c r="CDS6" s="108" t="s">
        <v>4</v>
      </c>
      <c r="CDT6" s="108" t="s">
        <v>70</v>
      </c>
      <c r="CDU6" s="108" t="s">
        <v>71</v>
      </c>
      <c r="CDV6" s="108" t="s">
        <v>37</v>
      </c>
      <c r="CDZ6" s="109" t="s">
        <v>139</v>
      </c>
      <c r="CEA6" s="109" t="s">
        <v>140</v>
      </c>
      <c r="CEV6" s="107" t="s">
        <v>61</v>
      </c>
      <c r="CEW6" s="108" t="s">
        <v>2</v>
      </c>
      <c r="CEX6" s="108" t="s">
        <v>3</v>
      </c>
      <c r="CEY6" s="108" t="s">
        <v>4</v>
      </c>
      <c r="CEZ6" s="108" t="s">
        <v>70</v>
      </c>
      <c r="CFA6" s="108" t="s">
        <v>71</v>
      </c>
      <c r="CFB6" s="108" t="s">
        <v>37</v>
      </c>
      <c r="CFF6" s="109" t="s">
        <v>139</v>
      </c>
      <c r="CFG6" s="109" t="s">
        <v>140</v>
      </c>
      <c r="CGB6" s="107" t="s">
        <v>61</v>
      </c>
      <c r="CGC6" s="108" t="s">
        <v>2</v>
      </c>
      <c r="CGD6" s="108" t="s">
        <v>3</v>
      </c>
      <c r="CGE6" s="108" t="s">
        <v>4</v>
      </c>
      <c r="CGF6" s="108" t="s">
        <v>70</v>
      </c>
      <c r="CGG6" s="108" t="s">
        <v>71</v>
      </c>
      <c r="CGH6" s="108" t="s">
        <v>37</v>
      </c>
      <c r="CGL6" s="109" t="s">
        <v>139</v>
      </c>
      <c r="CGM6" s="109" t="s">
        <v>140</v>
      </c>
      <c r="CHH6" s="107" t="s">
        <v>61</v>
      </c>
      <c r="CHI6" s="108" t="s">
        <v>2</v>
      </c>
      <c r="CHJ6" s="108" t="s">
        <v>3</v>
      </c>
      <c r="CHK6" s="108" t="s">
        <v>4</v>
      </c>
      <c r="CHL6" s="108" t="s">
        <v>70</v>
      </c>
      <c r="CHM6" s="108" t="s">
        <v>71</v>
      </c>
      <c r="CHN6" s="108" t="s">
        <v>37</v>
      </c>
      <c r="CHR6" s="109" t="s">
        <v>139</v>
      </c>
      <c r="CHS6" s="109" t="s">
        <v>140</v>
      </c>
      <c r="CIN6" s="107" t="s">
        <v>61</v>
      </c>
      <c r="CIO6" s="108" t="s">
        <v>2</v>
      </c>
      <c r="CIP6" s="108" t="s">
        <v>3</v>
      </c>
      <c r="CIQ6" s="108" t="s">
        <v>4</v>
      </c>
      <c r="CIR6" s="108" t="s">
        <v>70</v>
      </c>
      <c r="CIS6" s="108" t="s">
        <v>71</v>
      </c>
      <c r="CIT6" s="108" t="s">
        <v>37</v>
      </c>
      <c r="CIX6" s="109" t="s">
        <v>139</v>
      </c>
      <c r="CIY6" s="109" t="s">
        <v>140</v>
      </c>
      <c r="CJT6" s="107" t="s">
        <v>61</v>
      </c>
      <c r="CJU6" s="108" t="s">
        <v>2</v>
      </c>
      <c r="CJV6" s="108" t="s">
        <v>3</v>
      </c>
      <c r="CJW6" s="108" t="s">
        <v>4</v>
      </c>
      <c r="CJX6" s="108" t="s">
        <v>70</v>
      </c>
      <c r="CJY6" s="108" t="s">
        <v>71</v>
      </c>
      <c r="CJZ6" s="108" t="s">
        <v>37</v>
      </c>
      <c r="CKD6" s="109" t="s">
        <v>139</v>
      </c>
      <c r="CKE6" s="109" t="s">
        <v>140</v>
      </c>
      <c r="CKZ6" s="107" t="s">
        <v>61</v>
      </c>
      <c r="CLA6" s="108" t="s">
        <v>2</v>
      </c>
      <c r="CLB6" s="108" t="s">
        <v>3</v>
      </c>
      <c r="CLC6" s="108" t="s">
        <v>4</v>
      </c>
      <c r="CLD6" s="108" t="s">
        <v>70</v>
      </c>
      <c r="CLE6" s="108" t="s">
        <v>71</v>
      </c>
      <c r="CLF6" s="108" t="s">
        <v>37</v>
      </c>
      <c r="CLJ6" s="109" t="s">
        <v>139</v>
      </c>
      <c r="CLK6" s="109" t="s">
        <v>140</v>
      </c>
      <c r="CMF6" s="107" t="s">
        <v>61</v>
      </c>
      <c r="CMG6" s="108" t="s">
        <v>2</v>
      </c>
      <c r="CMH6" s="108" t="s">
        <v>3</v>
      </c>
      <c r="CMI6" s="108" t="s">
        <v>4</v>
      </c>
      <c r="CMJ6" s="108" t="s">
        <v>70</v>
      </c>
      <c r="CMK6" s="108" t="s">
        <v>71</v>
      </c>
      <c r="CML6" s="108" t="s">
        <v>37</v>
      </c>
      <c r="CMP6" s="109" t="s">
        <v>139</v>
      </c>
      <c r="CMQ6" s="109" t="s">
        <v>140</v>
      </c>
      <c r="CNL6" s="107" t="s">
        <v>61</v>
      </c>
      <c r="CNM6" s="108" t="s">
        <v>2</v>
      </c>
      <c r="CNN6" s="108" t="s">
        <v>3</v>
      </c>
      <c r="CNO6" s="108" t="s">
        <v>4</v>
      </c>
      <c r="CNP6" s="108" t="s">
        <v>70</v>
      </c>
      <c r="CNQ6" s="108" t="s">
        <v>71</v>
      </c>
      <c r="CNR6" s="108" t="s">
        <v>37</v>
      </c>
      <c r="CNV6" s="109" t="s">
        <v>139</v>
      </c>
      <c r="CNW6" s="109" t="s">
        <v>140</v>
      </c>
      <c r="COR6" s="107" t="s">
        <v>61</v>
      </c>
      <c r="COS6" s="108" t="s">
        <v>2</v>
      </c>
      <c r="COT6" s="108" t="s">
        <v>3</v>
      </c>
      <c r="COU6" s="108" t="s">
        <v>4</v>
      </c>
      <c r="COV6" s="108" t="s">
        <v>70</v>
      </c>
      <c r="COW6" s="108" t="s">
        <v>71</v>
      </c>
      <c r="COX6" s="108" t="s">
        <v>37</v>
      </c>
      <c r="CPB6" s="109" t="s">
        <v>139</v>
      </c>
      <c r="CPC6" s="109" t="s">
        <v>140</v>
      </c>
      <c r="CPX6" s="107" t="s">
        <v>61</v>
      </c>
      <c r="CPY6" s="108" t="s">
        <v>2</v>
      </c>
      <c r="CPZ6" s="108" t="s">
        <v>3</v>
      </c>
      <c r="CQA6" s="108" t="s">
        <v>4</v>
      </c>
      <c r="CQB6" s="108" t="s">
        <v>70</v>
      </c>
      <c r="CQC6" s="108" t="s">
        <v>71</v>
      </c>
      <c r="CQD6" s="108" t="s">
        <v>37</v>
      </c>
      <c r="CQH6" s="109" t="s">
        <v>139</v>
      </c>
      <c r="CQI6" s="109" t="s">
        <v>140</v>
      </c>
      <c r="CRD6" s="107" t="s">
        <v>61</v>
      </c>
      <c r="CRE6" s="108" t="s">
        <v>2</v>
      </c>
      <c r="CRF6" s="108" t="s">
        <v>3</v>
      </c>
      <c r="CRG6" s="108" t="s">
        <v>4</v>
      </c>
      <c r="CRH6" s="108" t="s">
        <v>70</v>
      </c>
      <c r="CRI6" s="108" t="s">
        <v>71</v>
      </c>
      <c r="CRJ6" s="108" t="s">
        <v>37</v>
      </c>
      <c r="CRN6" s="109" t="s">
        <v>139</v>
      </c>
      <c r="CRO6" s="109" t="s">
        <v>140</v>
      </c>
      <c r="CSJ6" s="107" t="s">
        <v>61</v>
      </c>
      <c r="CSK6" s="108" t="s">
        <v>2</v>
      </c>
      <c r="CSL6" s="108" t="s">
        <v>3</v>
      </c>
      <c r="CSM6" s="108" t="s">
        <v>4</v>
      </c>
      <c r="CSN6" s="108" t="s">
        <v>70</v>
      </c>
      <c r="CSO6" s="108" t="s">
        <v>71</v>
      </c>
      <c r="CSP6" s="108" t="s">
        <v>37</v>
      </c>
      <c r="CST6" s="109" t="s">
        <v>139</v>
      </c>
      <c r="CSU6" s="109" t="s">
        <v>140</v>
      </c>
      <c r="CTP6" s="107" t="s">
        <v>61</v>
      </c>
      <c r="CTQ6" s="108" t="s">
        <v>2</v>
      </c>
      <c r="CTR6" s="108" t="s">
        <v>3</v>
      </c>
      <c r="CTS6" s="108" t="s">
        <v>4</v>
      </c>
      <c r="CTT6" s="108" t="s">
        <v>70</v>
      </c>
      <c r="CTU6" s="108" t="s">
        <v>71</v>
      </c>
      <c r="CTV6" s="108" t="s">
        <v>37</v>
      </c>
      <c r="CTZ6" s="109" t="s">
        <v>139</v>
      </c>
      <c r="CUA6" s="109" t="s">
        <v>140</v>
      </c>
      <c r="CUV6" s="107" t="s">
        <v>61</v>
      </c>
      <c r="CUW6" s="108" t="s">
        <v>2</v>
      </c>
      <c r="CUX6" s="108" t="s">
        <v>3</v>
      </c>
      <c r="CUY6" s="108" t="s">
        <v>4</v>
      </c>
      <c r="CUZ6" s="108" t="s">
        <v>70</v>
      </c>
      <c r="CVA6" s="108" t="s">
        <v>71</v>
      </c>
      <c r="CVB6" s="108" t="s">
        <v>37</v>
      </c>
      <c r="CVF6" s="109" t="s">
        <v>139</v>
      </c>
      <c r="CVG6" s="109" t="s">
        <v>140</v>
      </c>
      <c r="CWB6" s="107" t="s">
        <v>61</v>
      </c>
      <c r="CWC6" s="108" t="s">
        <v>2</v>
      </c>
      <c r="CWD6" s="108" t="s">
        <v>3</v>
      </c>
      <c r="CWE6" s="108" t="s">
        <v>4</v>
      </c>
      <c r="CWF6" s="108" t="s">
        <v>70</v>
      </c>
      <c r="CWG6" s="108" t="s">
        <v>71</v>
      </c>
      <c r="CWH6" s="108" t="s">
        <v>37</v>
      </c>
      <c r="CWL6" s="109" t="s">
        <v>139</v>
      </c>
      <c r="CWM6" s="109" t="s">
        <v>140</v>
      </c>
      <c r="CXH6" s="107" t="s">
        <v>61</v>
      </c>
      <c r="CXI6" s="108" t="s">
        <v>2</v>
      </c>
      <c r="CXJ6" s="108" t="s">
        <v>3</v>
      </c>
      <c r="CXK6" s="108" t="s">
        <v>4</v>
      </c>
      <c r="CXL6" s="108" t="s">
        <v>70</v>
      </c>
      <c r="CXM6" s="108" t="s">
        <v>71</v>
      </c>
      <c r="CXN6" s="108" t="s">
        <v>37</v>
      </c>
      <c r="CXR6" s="109" t="s">
        <v>139</v>
      </c>
      <c r="CXS6" s="109" t="s">
        <v>140</v>
      </c>
      <c r="CYN6" s="107" t="s">
        <v>61</v>
      </c>
      <c r="CYO6" s="108" t="s">
        <v>2</v>
      </c>
      <c r="CYP6" s="108" t="s">
        <v>3</v>
      </c>
      <c r="CYQ6" s="108" t="s">
        <v>4</v>
      </c>
      <c r="CYR6" s="108" t="s">
        <v>70</v>
      </c>
      <c r="CYS6" s="108" t="s">
        <v>71</v>
      </c>
      <c r="CYT6" s="108" t="s">
        <v>37</v>
      </c>
      <c r="CYX6" s="109" t="s">
        <v>139</v>
      </c>
      <c r="CYY6" s="109" t="s">
        <v>140</v>
      </c>
      <c r="CZT6" s="107" t="s">
        <v>61</v>
      </c>
      <c r="CZU6" s="108" t="s">
        <v>2</v>
      </c>
      <c r="CZV6" s="108" t="s">
        <v>3</v>
      </c>
      <c r="CZW6" s="108" t="s">
        <v>4</v>
      </c>
      <c r="CZX6" s="108" t="s">
        <v>70</v>
      </c>
      <c r="CZY6" s="108" t="s">
        <v>71</v>
      </c>
      <c r="CZZ6" s="108" t="s">
        <v>37</v>
      </c>
      <c r="DAD6" s="109" t="s">
        <v>139</v>
      </c>
      <c r="DAE6" s="109" t="s">
        <v>140</v>
      </c>
      <c r="DAZ6" s="107" t="s">
        <v>61</v>
      </c>
      <c r="DBA6" s="108" t="s">
        <v>2</v>
      </c>
      <c r="DBB6" s="108" t="s">
        <v>3</v>
      </c>
      <c r="DBC6" s="108" t="s">
        <v>4</v>
      </c>
      <c r="DBD6" s="108" t="s">
        <v>70</v>
      </c>
      <c r="DBE6" s="108" t="s">
        <v>71</v>
      </c>
      <c r="DBF6" s="108" t="s">
        <v>37</v>
      </c>
      <c r="DBJ6" s="109" t="s">
        <v>139</v>
      </c>
      <c r="DBK6" s="109" t="s">
        <v>140</v>
      </c>
      <c r="DCF6" s="107" t="s">
        <v>61</v>
      </c>
      <c r="DCG6" s="108" t="s">
        <v>2</v>
      </c>
      <c r="DCH6" s="108" t="s">
        <v>3</v>
      </c>
      <c r="DCI6" s="108" t="s">
        <v>4</v>
      </c>
      <c r="DCJ6" s="108" t="s">
        <v>70</v>
      </c>
      <c r="DCK6" s="108" t="s">
        <v>71</v>
      </c>
      <c r="DCL6" s="108" t="s">
        <v>37</v>
      </c>
      <c r="DCP6" s="109" t="s">
        <v>139</v>
      </c>
      <c r="DCQ6" s="109" t="s">
        <v>140</v>
      </c>
      <c r="DDL6" s="107" t="s">
        <v>61</v>
      </c>
      <c r="DDM6" s="108" t="s">
        <v>2</v>
      </c>
      <c r="DDN6" s="108" t="s">
        <v>3</v>
      </c>
      <c r="DDO6" s="108" t="s">
        <v>4</v>
      </c>
      <c r="DDP6" s="108" t="s">
        <v>70</v>
      </c>
      <c r="DDQ6" s="108" t="s">
        <v>71</v>
      </c>
      <c r="DDR6" s="108" t="s">
        <v>37</v>
      </c>
      <c r="DDV6" s="109" t="s">
        <v>139</v>
      </c>
      <c r="DDW6" s="109" t="s">
        <v>140</v>
      </c>
      <c r="DER6" s="107" t="s">
        <v>61</v>
      </c>
      <c r="DES6" s="108" t="s">
        <v>2</v>
      </c>
      <c r="DET6" s="108" t="s">
        <v>3</v>
      </c>
      <c r="DEU6" s="108" t="s">
        <v>4</v>
      </c>
      <c r="DEV6" s="108" t="s">
        <v>70</v>
      </c>
      <c r="DEW6" s="108" t="s">
        <v>71</v>
      </c>
      <c r="DEX6" s="108" t="s">
        <v>37</v>
      </c>
      <c r="DFB6" s="109" t="s">
        <v>139</v>
      </c>
      <c r="DFC6" s="109" t="s">
        <v>140</v>
      </c>
      <c r="DFX6" s="107" t="s">
        <v>61</v>
      </c>
      <c r="DFY6" s="108" t="s">
        <v>2</v>
      </c>
      <c r="DFZ6" s="108" t="s">
        <v>3</v>
      </c>
      <c r="DGA6" s="108" t="s">
        <v>4</v>
      </c>
      <c r="DGB6" s="108" t="s">
        <v>70</v>
      </c>
      <c r="DGC6" s="108" t="s">
        <v>71</v>
      </c>
      <c r="DGD6" s="108" t="s">
        <v>37</v>
      </c>
      <c r="DGH6" s="109" t="s">
        <v>139</v>
      </c>
      <c r="DGI6" s="109" t="s">
        <v>140</v>
      </c>
      <c r="DHD6" s="107" t="s">
        <v>61</v>
      </c>
      <c r="DHE6" s="108" t="s">
        <v>2</v>
      </c>
      <c r="DHF6" s="108" t="s">
        <v>3</v>
      </c>
      <c r="DHG6" s="108" t="s">
        <v>4</v>
      </c>
      <c r="DHH6" s="108" t="s">
        <v>70</v>
      </c>
      <c r="DHI6" s="108" t="s">
        <v>71</v>
      </c>
      <c r="DHJ6" s="108" t="s">
        <v>37</v>
      </c>
      <c r="DHN6" s="109" t="s">
        <v>139</v>
      </c>
      <c r="DHO6" s="109" t="s">
        <v>140</v>
      </c>
      <c r="DIJ6" s="107" t="s">
        <v>61</v>
      </c>
      <c r="DIK6" s="108" t="s">
        <v>2</v>
      </c>
      <c r="DIL6" s="108" t="s">
        <v>3</v>
      </c>
      <c r="DIM6" s="108" t="s">
        <v>4</v>
      </c>
      <c r="DIN6" s="108" t="s">
        <v>70</v>
      </c>
      <c r="DIO6" s="108" t="s">
        <v>71</v>
      </c>
      <c r="DIP6" s="108" t="s">
        <v>37</v>
      </c>
      <c r="DIT6" s="109" t="s">
        <v>139</v>
      </c>
      <c r="DIU6" s="109" t="s">
        <v>140</v>
      </c>
      <c r="DJP6" s="107" t="s">
        <v>61</v>
      </c>
      <c r="DJQ6" s="108" t="s">
        <v>2</v>
      </c>
      <c r="DJR6" s="108" t="s">
        <v>3</v>
      </c>
      <c r="DJS6" s="108" t="s">
        <v>4</v>
      </c>
      <c r="DJT6" s="108" t="s">
        <v>70</v>
      </c>
      <c r="DJU6" s="108" t="s">
        <v>71</v>
      </c>
      <c r="DJV6" s="108" t="s">
        <v>37</v>
      </c>
      <c r="DJZ6" s="109" t="s">
        <v>139</v>
      </c>
      <c r="DKA6" s="109" t="s">
        <v>140</v>
      </c>
      <c r="DKV6" s="107" t="s">
        <v>61</v>
      </c>
      <c r="DKW6" s="108" t="s">
        <v>2</v>
      </c>
      <c r="DKX6" s="108" t="s">
        <v>3</v>
      </c>
      <c r="DKY6" s="108" t="s">
        <v>4</v>
      </c>
      <c r="DKZ6" s="108" t="s">
        <v>70</v>
      </c>
      <c r="DLA6" s="108" t="s">
        <v>71</v>
      </c>
      <c r="DLB6" s="108" t="s">
        <v>37</v>
      </c>
      <c r="DLF6" s="109" t="s">
        <v>139</v>
      </c>
      <c r="DLG6" s="109" t="s">
        <v>140</v>
      </c>
      <c r="DMB6" s="107" t="s">
        <v>61</v>
      </c>
      <c r="DMC6" s="108" t="s">
        <v>2</v>
      </c>
      <c r="DMD6" s="108" t="s">
        <v>3</v>
      </c>
      <c r="DME6" s="108" t="s">
        <v>4</v>
      </c>
      <c r="DMF6" s="108" t="s">
        <v>70</v>
      </c>
      <c r="DMG6" s="108" t="s">
        <v>71</v>
      </c>
      <c r="DMH6" s="108" t="s">
        <v>37</v>
      </c>
      <c r="DML6" s="109" t="s">
        <v>139</v>
      </c>
      <c r="DMM6" s="109" t="s">
        <v>140</v>
      </c>
      <c r="DNH6" s="107" t="s">
        <v>61</v>
      </c>
      <c r="DNI6" s="108" t="s">
        <v>2</v>
      </c>
      <c r="DNJ6" s="108" t="s">
        <v>3</v>
      </c>
      <c r="DNK6" s="108" t="s">
        <v>4</v>
      </c>
      <c r="DNL6" s="108" t="s">
        <v>70</v>
      </c>
      <c r="DNM6" s="108" t="s">
        <v>71</v>
      </c>
      <c r="DNN6" s="108" t="s">
        <v>37</v>
      </c>
      <c r="DNR6" s="109" t="s">
        <v>139</v>
      </c>
      <c r="DNS6" s="109" t="s">
        <v>140</v>
      </c>
      <c r="DON6" s="107" t="s">
        <v>61</v>
      </c>
      <c r="DOO6" s="108" t="s">
        <v>2</v>
      </c>
      <c r="DOP6" s="108" t="s">
        <v>3</v>
      </c>
      <c r="DOQ6" s="108" t="s">
        <v>4</v>
      </c>
      <c r="DOR6" s="108" t="s">
        <v>70</v>
      </c>
      <c r="DOS6" s="108" t="s">
        <v>71</v>
      </c>
      <c r="DOT6" s="108" t="s">
        <v>37</v>
      </c>
      <c r="DOX6" s="109" t="s">
        <v>139</v>
      </c>
      <c r="DOY6" s="109" t="s">
        <v>140</v>
      </c>
      <c r="DPT6" s="107" t="s">
        <v>61</v>
      </c>
      <c r="DPU6" s="108" t="s">
        <v>2</v>
      </c>
      <c r="DPV6" s="108" t="s">
        <v>3</v>
      </c>
      <c r="DPW6" s="108" t="s">
        <v>4</v>
      </c>
      <c r="DPX6" s="108" t="s">
        <v>70</v>
      </c>
      <c r="DPY6" s="108" t="s">
        <v>71</v>
      </c>
      <c r="DPZ6" s="108" t="s">
        <v>37</v>
      </c>
      <c r="DQD6" s="109" t="s">
        <v>139</v>
      </c>
      <c r="DQE6" s="109" t="s">
        <v>140</v>
      </c>
      <c r="DQZ6" s="107" t="s">
        <v>61</v>
      </c>
      <c r="DRA6" s="108" t="s">
        <v>2</v>
      </c>
      <c r="DRB6" s="108" t="s">
        <v>3</v>
      </c>
      <c r="DRC6" s="108" t="s">
        <v>4</v>
      </c>
      <c r="DRD6" s="108" t="s">
        <v>70</v>
      </c>
      <c r="DRE6" s="108" t="s">
        <v>71</v>
      </c>
      <c r="DRF6" s="108" t="s">
        <v>37</v>
      </c>
      <c r="DRJ6" s="109" t="s">
        <v>139</v>
      </c>
      <c r="DRK6" s="109" t="s">
        <v>140</v>
      </c>
      <c r="DSF6" s="107" t="s">
        <v>61</v>
      </c>
      <c r="DSG6" s="108" t="s">
        <v>2</v>
      </c>
      <c r="DSH6" s="108" t="s">
        <v>3</v>
      </c>
      <c r="DSI6" s="108" t="s">
        <v>4</v>
      </c>
      <c r="DSJ6" s="108" t="s">
        <v>70</v>
      </c>
      <c r="DSK6" s="108" t="s">
        <v>71</v>
      </c>
      <c r="DSL6" s="108" t="s">
        <v>37</v>
      </c>
      <c r="DSP6" s="109" t="s">
        <v>139</v>
      </c>
      <c r="DSQ6" s="109" t="s">
        <v>140</v>
      </c>
      <c r="DTL6" s="107" t="s">
        <v>61</v>
      </c>
      <c r="DTM6" s="108" t="s">
        <v>2</v>
      </c>
      <c r="DTN6" s="108" t="s">
        <v>3</v>
      </c>
      <c r="DTO6" s="108" t="s">
        <v>4</v>
      </c>
      <c r="DTP6" s="108" t="s">
        <v>70</v>
      </c>
      <c r="DTQ6" s="108" t="s">
        <v>71</v>
      </c>
      <c r="DTR6" s="108" t="s">
        <v>37</v>
      </c>
      <c r="DTV6" s="109" t="s">
        <v>139</v>
      </c>
      <c r="DTW6" s="109" t="s">
        <v>140</v>
      </c>
      <c r="DUR6" s="107" t="s">
        <v>61</v>
      </c>
      <c r="DUS6" s="108" t="s">
        <v>2</v>
      </c>
      <c r="DUT6" s="108" t="s">
        <v>3</v>
      </c>
      <c r="DUU6" s="108" t="s">
        <v>4</v>
      </c>
      <c r="DUV6" s="108" t="s">
        <v>70</v>
      </c>
      <c r="DUW6" s="108" t="s">
        <v>71</v>
      </c>
      <c r="DUX6" s="108" t="s">
        <v>37</v>
      </c>
      <c r="DVB6" s="109" t="s">
        <v>139</v>
      </c>
      <c r="DVC6" s="109" t="s">
        <v>140</v>
      </c>
      <c r="DVX6" s="107" t="s">
        <v>61</v>
      </c>
      <c r="DVY6" s="108" t="s">
        <v>2</v>
      </c>
      <c r="DVZ6" s="108" t="s">
        <v>3</v>
      </c>
      <c r="DWA6" s="108" t="s">
        <v>4</v>
      </c>
      <c r="DWB6" s="108" t="s">
        <v>70</v>
      </c>
      <c r="DWC6" s="108" t="s">
        <v>71</v>
      </c>
      <c r="DWD6" s="108" t="s">
        <v>37</v>
      </c>
      <c r="DWH6" s="109" t="s">
        <v>139</v>
      </c>
      <c r="DWI6" s="109" t="s">
        <v>140</v>
      </c>
      <c r="DXD6" s="107" t="s">
        <v>61</v>
      </c>
      <c r="DXE6" s="108" t="s">
        <v>2</v>
      </c>
      <c r="DXF6" s="108" t="s">
        <v>3</v>
      </c>
      <c r="DXG6" s="108" t="s">
        <v>4</v>
      </c>
      <c r="DXH6" s="108" t="s">
        <v>70</v>
      </c>
      <c r="DXI6" s="108" t="s">
        <v>71</v>
      </c>
      <c r="DXJ6" s="108" t="s">
        <v>37</v>
      </c>
      <c r="DXN6" s="109" t="s">
        <v>139</v>
      </c>
      <c r="DXO6" s="109" t="s">
        <v>140</v>
      </c>
      <c r="DYJ6" s="107" t="s">
        <v>61</v>
      </c>
      <c r="DYK6" s="108" t="s">
        <v>2</v>
      </c>
      <c r="DYL6" s="108" t="s">
        <v>3</v>
      </c>
      <c r="DYM6" s="108" t="s">
        <v>4</v>
      </c>
      <c r="DYN6" s="108" t="s">
        <v>70</v>
      </c>
      <c r="DYO6" s="108" t="s">
        <v>71</v>
      </c>
      <c r="DYP6" s="108" t="s">
        <v>37</v>
      </c>
      <c r="DYT6" s="109" t="s">
        <v>139</v>
      </c>
      <c r="DYU6" s="109" t="s">
        <v>140</v>
      </c>
      <c r="DZP6" s="107" t="s">
        <v>61</v>
      </c>
      <c r="DZQ6" s="108" t="s">
        <v>2</v>
      </c>
      <c r="DZR6" s="108" t="s">
        <v>3</v>
      </c>
      <c r="DZS6" s="108" t="s">
        <v>4</v>
      </c>
      <c r="DZT6" s="108" t="s">
        <v>70</v>
      </c>
      <c r="DZU6" s="108" t="s">
        <v>71</v>
      </c>
      <c r="DZV6" s="108" t="s">
        <v>37</v>
      </c>
      <c r="DZZ6" s="109" t="s">
        <v>139</v>
      </c>
      <c r="EAA6" s="109" t="s">
        <v>140</v>
      </c>
      <c r="EAV6" s="107" t="s">
        <v>61</v>
      </c>
      <c r="EAW6" s="108" t="s">
        <v>2</v>
      </c>
      <c r="EAX6" s="108" t="s">
        <v>3</v>
      </c>
      <c r="EAY6" s="108" t="s">
        <v>4</v>
      </c>
      <c r="EAZ6" s="108" t="s">
        <v>70</v>
      </c>
      <c r="EBA6" s="108" t="s">
        <v>71</v>
      </c>
      <c r="EBB6" s="108" t="s">
        <v>37</v>
      </c>
      <c r="EBF6" s="109" t="s">
        <v>139</v>
      </c>
      <c r="EBG6" s="109" t="s">
        <v>140</v>
      </c>
      <c r="ECB6" s="107" t="s">
        <v>61</v>
      </c>
      <c r="ECC6" s="108" t="s">
        <v>2</v>
      </c>
      <c r="ECD6" s="108" t="s">
        <v>3</v>
      </c>
      <c r="ECE6" s="108" t="s">
        <v>4</v>
      </c>
      <c r="ECF6" s="108" t="s">
        <v>70</v>
      </c>
      <c r="ECG6" s="108" t="s">
        <v>71</v>
      </c>
      <c r="ECH6" s="108" t="s">
        <v>37</v>
      </c>
      <c r="ECL6" s="109" t="s">
        <v>139</v>
      </c>
      <c r="ECM6" s="109" t="s">
        <v>140</v>
      </c>
      <c r="EDH6" s="107" t="s">
        <v>61</v>
      </c>
      <c r="EDI6" s="108" t="s">
        <v>2</v>
      </c>
      <c r="EDJ6" s="108" t="s">
        <v>3</v>
      </c>
      <c r="EDK6" s="108" t="s">
        <v>4</v>
      </c>
      <c r="EDL6" s="108" t="s">
        <v>70</v>
      </c>
      <c r="EDM6" s="108" t="s">
        <v>71</v>
      </c>
      <c r="EDN6" s="108" t="s">
        <v>37</v>
      </c>
      <c r="EDR6" s="109" t="s">
        <v>139</v>
      </c>
      <c r="EDS6" s="109" t="s">
        <v>140</v>
      </c>
      <c r="EEN6" s="107" t="s">
        <v>61</v>
      </c>
      <c r="EEO6" s="108" t="s">
        <v>2</v>
      </c>
      <c r="EEP6" s="108" t="s">
        <v>3</v>
      </c>
      <c r="EEQ6" s="108" t="s">
        <v>4</v>
      </c>
      <c r="EER6" s="108" t="s">
        <v>70</v>
      </c>
      <c r="EES6" s="108" t="s">
        <v>71</v>
      </c>
      <c r="EET6" s="108" t="s">
        <v>37</v>
      </c>
      <c r="EEX6" s="109" t="s">
        <v>139</v>
      </c>
      <c r="EEY6" s="109" t="s">
        <v>140</v>
      </c>
      <c r="EFT6" s="107" t="s">
        <v>61</v>
      </c>
      <c r="EFU6" s="108" t="s">
        <v>2</v>
      </c>
      <c r="EFV6" s="108" t="s">
        <v>3</v>
      </c>
      <c r="EFW6" s="108" t="s">
        <v>4</v>
      </c>
      <c r="EFX6" s="108" t="s">
        <v>70</v>
      </c>
      <c r="EFY6" s="108" t="s">
        <v>71</v>
      </c>
      <c r="EFZ6" s="108" t="s">
        <v>37</v>
      </c>
      <c r="EGD6" s="109" t="s">
        <v>139</v>
      </c>
      <c r="EGE6" s="109" t="s">
        <v>140</v>
      </c>
      <c r="EGZ6" s="107" t="s">
        <v>61</v>
      </c>
      <c r="EHA6" s="108" t="s">
        <v>2</v>
      </c>
      <c r="EHB6" s="108" t="s">
        <v>3</v>
      </c>
      <c r="EHC6" s="108" t="s">
        <v>4</v>
      </c>
      <c r="EHD6" s="108" t="s">
        <v>70</v>
      </c>
      <c r="EHE6" s="108" t="s">
        <v>71</v>
      </c>
      <c r="EHF6" s="108" t="s">
        <v>37</v>
      </c>
      <c r="EHJ6" s="109" t="s">
        <v>139</v>
      </c>
      <c r="EHK6" s="109" t="s">
        <v>140</v>
      </c>
      <c r="EIF6" s="107" t="s">
        <v>61</v>
      </c>
      <c r="EIG6" s="108" t="s">
        <v>2</v>
      </c>
      <c r="EIH6" s="108" t="s">
        <v>3</v>
      </c>
      <c r="EII6" s="108" t="s">
        <v>4</v>
      </c>
      <c r="EIJ6" s="108" t="s">
        <v>70</v>
      </c>
      <c r="EIK6" s="108" t="s">
        <v>71</v>
      </c>
      <c r="EIL6" s="108" t="s">
        <v>37</v>
      </c>
      <c r="EIP6" s="109" t="s">
        <v>139</v>
      </c>
      <c r="EIQ6" s="109" t="s">
        <v>140</v>
      </c>
      <c r="EJL6" s="107" t="s">
        <v>61</v>
      </c>
      <c r="EJM6" s="108" t="s">
        <v>2</v>
      </c>
      <c r="EJN6" s="108" t="s">
        <v>3</v>
      </c>
      <c r="EJO6" s="108" t="s">
        <v>4</v>
      </c>
      <c r="EJP6" s="108" t="s">
        <v>70</v>
      </c>
      <c r="EJQ6" s="108" t="s">
        <v>71</v>
      </c>
      <c r="EJR6" s="108" t="s">
        <v>37</v>
      </c>
      <c r="EJV6" s="109" t="s">
        <v>139</v>
      </c>
      <c r="EJW6" s="109" t="s">
        <v>140</v>
      </c>
      <c r="EKR6" s="107" t="s">
        <v>61</v>
      </c>
      <c r="EKS6" s="108" t="s">
        <v>2</v>
      </c>
      <c r="EKT6" s="108" t="s">
        <v>3</v>
      </c>
      <c r="EKU6" s="108" t="s">
        <v>4</v>
      </c>
      <c r="EKV6" s="108" t="s">
        <v>70</v>
      </c>
      <c r="EKW6" s="108" t="s">
        <v>71</v>
      </c>
      <c r="EKX6" s="108" t="s">
        <v>37</v>
      </c>
      <c r="ELB6" s="109" t="s">
        <v>139</v>
      </c>
      <c r="ELC6" s="109" t="s">
        <v>140</v>
      </c>
      <c r="ELX6" s="107" t="s">
        <v>61</v>
      </c>
      <c r="ELY6" s="108" t="s">
        <v>2</v>
      </c>
      <c r="ELZ6" s="108" t="s">
        <v>3</v>
      </c>
      <c r="EMA6" s="108" t="s">
        <v>4</v>
      </c>
      <c r="EMB6" s="108" t="s">
        <v>70</v>
      </c>
      <c r="EMC6" s="108" t="s">
        <v>71</v>
      </c>
      <c r="EMD6" s="108" t="s">
        <v>37</v>
      </c>
      <c r="EMH6" s="109" t="s">
        <v>139</v>
      </c>
      <c r="EMI6" s="109" t="s">
        <v>140</v>
      </c>
      <c r="END6" s="107" t="s">
        <v>61</v>
      </c>
      <c r="ENE6" s="108" t="s">
        <v>2</v>
      </c>
      <c r="ENF6" s="108" t="s">
        <v>3</v>
      </c>
      <c r="ENG6" s="108" t="s">
        <v>4</v>
      </c>
      <c r="ENH6" s="108" t="s">
        <v>70</v>
      </c>
      <c r="ENI6" s="108" t="s">
        <v>71</v>
      </c>
      <c r="ENJ6" s="108" t="s">
        <v>37</v>
      </c>
      <c r="ENN6" s="109" t="s">
        <v>139</v>
      </c>
      <c r="ENO6" s="109" t="s">
        <v>140</v>
      </c>
      <c r="EOJ6" s="107" t="s">
        <v>61</v>
      </c>
      <c r="EOK6" s="108" t="s">
        <v>2</v>
      </c>
      <c r="EOL6" s="108" t="s">
        <v>3</v>
      </c>
      <c r="EOM6" s="108" t="s">
        <v>4</v>
      </c>
      <c r="EON6" s="108" t="s">
        <v>70</v>
      </c>
      <c r="EOO6" s="108" t="s">
        <v>71</v>
      </c>
      <c r="EOP6" s="108" t="s">
        <v>37</v>
      </c>
      <c r="EOT6" s="109" t="s">
        <v>139</v>
      </c>
      <c r="EOU6" s="109" t="s">
        <v>140</v>
      </c>
      <c r="EPP6" s="107" t="s">
        <v>61</v>
      </c>
      <c r="EPQ6" s="108" t="s">
        <v>2</v>
      </c>
      <c r="EPR6" s="108" t="s">
        <v>3</v>
      </c>
      <c r="EPS6" s="108" t="s">
        <v>4</v>
      </c>
      <c r="EPT6" s="108" t="s">
        <v>70</v>
      </c>
      <c r="EPU6" s="108" t="s">
        <v>71</v>
      </c>
      <c r="EPV6" s="108" t="s">
        <v>37</v>
      </c>
      <c r="EPZ6" s="109" t="s">
        <v>139</v>
      </c>
      <c r="EQA6" s="109" t="s">
        <v>140</v>
      </c>
      <c r="EQV6" s="107" t="s">
        <v>61</v>
      </c>
      <c r="EQW6" s="108" t="s">
        <v>2</v>
      </c>
      <c r="EQX6" s="108" t="s">
        <v>3</v>
      </c>
      <c r="EQY6" s="108" t="s">
        <v>4</v>
      </c>
      <c r="EQZ6" s="108" t="s">
        <v>70</v>
      </c>
      <c r="ERA6" s="108" t="s">
        <v>71</v>
      </c>
      <c r="ERB6" s="108" t="s">
        <v>37</v>
      </c>
      <c r="ERF6" s="109" t="s">
        <v>139</v>
      </c>
      <c r="ERG6" s="109" t="s">
        <v>140</v>
      </c>
      <c r="ESB6" s="107" t="s">
        <v>61</v>
      </c>
      <c r="ESC6" s="108" t="s">
        <v>2</v>
      </c>
      <c r="ESD6" s="108" t="s">
        <v>3</v>
      </c>
      <c r="ESE6" s="108" t="s">
        <v>4</v>
      </c>
      <c r="ESF6" s="108" t="s">
        <v>70</v>
      </c>
      <c r="ESG6" s="108" t="s">
        <v>71</v>
      </c>
      <c r="ESH6" s="108" t="s">
        <v>37</v>
      </c>
      <c r="ESL6" s="109" t="s">
        <v>139</v>
      </c>
      <c r="ESM6" s="109" t="s">
        <v>140</v>
      </c>
      <c r="ETH6" s="107" t="s">
        <v>61</v>
      </c>
      <c r="ETI6" s="108" t="s">
        <v>2</v>
      </c>
      <c r="ETJ6" s="108" t="s">
        <v>3</v>
      </c>
      <c r="ETK6" s="108" t="s">
        <v>4</v>
      </c>
      <c r="ETL6" s="108" t="s">
        <v>70</v>
      </c>
      <c r="ETM6" s="108" t="s">
        <v>71</v>
      </c>
      <c r="ETN6" s="108" t="s">
        <v>37</v>
      </c>
      <c r="ETR6" s="109" t="s">
        <v>139</v>
      </c>
      <c r="ETS6" s="109" t="s">
        <v>140</v>
      </c>
      <c r="EUN6" s="107" t="s">
        <v>61</v>
      </c>
      <c r="EUO6" s="108" t="s">
        <v>2</v>
      </c>
      <c r="EUP6" s="108" t="s">
        <v>3</v>
      </c>
      <c r="EUQ6" s="108" t="s">
        <v>4</v>
      </c>
      <c r="EUR6" s="108" t="s">
        <v>70</v>
      </c>
      <c r="EUS6" s="108" t="s">
        <v>71</v>
      </c>
      <c r="EUT6" s="108" t="s">
        <v>37</v>
      </c>
      <c r="EUX6" s="109" t="s">
        <v>139</v>
      </c>
      <c r="EUY6" s="109" t="s">
        <v>140</v>
      </c>
      <c r="EVT6" s="107" t="s">
        <v>61</v>
      </c>
      <c r="EVU6" s="108" t="s">
        <v>2</v>
      </c>
      <c r="EVV6" s="108" t="s">
        <v>3</v>
      </c>
      <c r="EVW6" s="108" t="s">
        <v>4</v>
      </c>
      <c r="EVX6" s="108" t="s">
        <v>70</v>
      </c>
      <c r="EVY6" s="108" t="s">
        <v>71</v>
      </c>
      <c r="EVZ6" s="108" t="s">
        <v>37</v>
      </c>
      <c r="EWD6" s="109" t="s">
        <v>139</v>
      </c>
      <c r="EWE6" s="109" t="s">
        <v>140</v>
      </c>
      <c r="EWZ6" s="107" t="s">
        <v>61</v>
      </c>
      <c r="EXA6" s="108" t="s">
        <v>2</v>
      </c>
      <c r="EXB6" s="108" t="s">
        <v>3</v>
      </c>
      <c r="EXC6" s="108" t="s">
        <v>4</v>
      </c>
      <c r="EXD6" s="108" t="s">
        <v>70</v>
      </c>
      <c r="EXE6" s="108" t="s">
        <v>71</v>
      </c>
      <c r="EXF6" s="108" t="s">
        <v>37</v>
      </c>
      <c r="EXJ6" s="109" t="s">
        <v>139</v>
      </c>
      <c r="EXK6" s="109" t="s">
        <v>140</v>
      </c>
      <c r="EYF6" s="107" t="s">
        <v>61</v>
      </c>
      <c r="EYG6" s="108" t="s">
        <v>2</v>
      </c>
      <c r="EYH6" s="108" t="s">
        <v>3</v>
      </c>
      <c r="EYI6" s="108" t="s">
        <v>4</v>
      </c>
      <c r="EYJ6" s="108" t="s">
        <v>70</v>
      </c>
      <c r="EYK6" s="108" t="s">
        <v>71</v>
      </c>
      <c r="EYL6" s="108" t="s">
        <v>37</v>
      </c>
      <c r="EYP6" s="109" t="s">
        <v>139</v>
      </c>
      <c r="EYQ6" s="109" t="s">
        <v>140</v>
      </c>
      <c r="EZL6" s="107" t="s">
        <v>61</v>
      </c>
      <c r="EZM6" s="108" t="s">
        <v>2</v>
      </c>
      <c r="EZN6" s="108" t="s">
        <v>3</v>
      </c>
      <c r="EZO6" s="108" t="s">
        <v>4</v>
      </c>
      <c r="EZP6" s="108" t="s">
        <v>70</v>
      </c>
      <c r="EZQ6" s="108" t="s">
        <v>71</v>
      </c>
      <c r="EZR6" s="108" t="s">
        <v>37</v>
      </c>
      <c r="EZV6" s="109" t="s">
        <v>139</v>
      </c>
      <c r="EZW6" s="109" t="s">
        <v>140</v>
      </c>
      <c r="FAR6" s="107" t="s">
        <v>61</v>
      </c>
      <c r="FAS6" s="108" t="s">
        <v>2</v>
      </c>
      <c r="FAT6" s="108" t="s">
        <v>3</v>
      </c>
      <c r="FAU6" s="108" t="s">
        <v>4</v>
      </c>
      <c r="FAV6" s="108" t="s">
        <v>70</v>
      </c>
      <c r="FAW6" s="108" t="s">
        <v>71</v>
      </c>
      <c r="FAX6" s="108" t="s">
        <v>37</v>
      </c>
      <c r="FBB6" s="109" t="s">
        <v>139</v>
      </c>
      <c r="FBC6" s="109" t="s">
        <v>140</v>
      </c>
      <c r="FBX6" s="107" t="s">
        <v>61</v>
      </c>
      <c r="FBY6" s="108" t="s">
        <v>2</v>
      </c>
      <c r="FBZ6" s="108" t="s">
        <v>3</v>
      </c>
      <c r="FCA6" s="108" t="s">
        <v>4</v>
      </c>
      <c r="FCB6" s="108" t="s">
        <v>70</v>
      </c>
      <c r="FCC6" s="108" t="s">
        <v>71</v>
      </c>
      <c r="FCD6" s="108" t="s">
        <v>37</v>
      </c>
      <c r="FCH6" s="109" t="s">
        <v>139</v>
      </c>
      <c r="FCI6" s="109" t="s">
        <v>140</v>
      </c>
      <c r="FDD6" s="107" t="s">
        <v>61</v>
      </c>
      <c r="FDE6" s="108" t="s">
        <v>2</v>
      </c>
      <c r="FDF6" s="108" t="s">
        <v>3</v>
      </c>
      <c r="FDG6" s="108" t="s">
        <v>4</v>
      </c>
      <c r="FDH6" s="108" t="s">
        <v>70</v>
      </c>
      <c r="FDI6" s="108" t="s">
        <v>71</v>
      </c>
      <c r="FDJ6" s="108" t="s">
        <v>37</v>
      </c>
      <c r="FDN6" s="109" t="s">
        <v>139</v>
      </c>
      <c r="FDO6" s="109" t="s">
        <v>140</v>
      </c>
      <c r="FEJ6" s="107" t="s">
        <v>61</v>
      </c>
      <c r="FEK6" s="108" t="s">
        <v>2</v>
      </c>
      <c r="FEL6" s="108" t="s">
        <v>3</v>
      </c>
      <c r="FEM6" s="108" t="s">
        <v>4</v>
      </c>
      <c r="FEN6" s="108" t="s">
        <v>70</v>
      </c>
      <c r="FEO6" s="108" t="s">
        <v>71</v>
      </c>
      <c r="FEP6" s="108" t="s">
        <v>37</v>
      </c>
      <c r="FET6" s="109" t="s">
        <v>139</v>
      </c>
      <c r="FEU6" s="109" t="s">
        <v>140</v>
      </c>
      <c r="FFP6" s="107" t="s">
        <v>61</v>
      </c>
      <c r="FFQ6" s="108" t="s">
        <v>2</v>
      </c>
      <c r="FFR6" s="108" t="s">
        <v>3</v>
      </c>
      <c r="FFS6" s="108" t="s">
        <v>4</v>
      </c>
      <c r="FFT6" s="108" t="s">
        <v>70</v>
      </c>
      <c r="FFU6" s="108" t="s">
        <v>71</v>
      </c>
      <c r="FFV6" s="108" t="s">
        <v>37</v>
      </c>
      <c r="FFZ6" s="109" t="s">
        <v>139</v>
      </c>
      <c r="FGA6" s="109" t="s">
        <v>140</v>
      </c>
      <c r="FGV6" s="107" t="s">
        <v>61</v>
      </c>
      <c r="FGW6" s="108" t="s">
        <v>2</v>
      </c>
      <c r="FGX6" s="108" t="s">
        <v>3</v>
      </c>
      <c r="FGY6" s="108" t="s">
        <v>4</v>
      </c>
      <c r="FGZ6" s="108" t="s">
        <v>70</v>
      </c>
      <c r="FHA6" s="108" t="s">
        <v>71</v>
      </c>
      <c r="FHB6" s="108" t="s">
        <v>37</v>
      </c>
      <c r="FHF6" s="109" t="s">
        <v>139</v>
      </c>
      <c r="FHG6" s="109" t="s">
        <v>140</v>
      </c>
      <c r="FIB6" s="107" t="s">
        <v>61</v>
      </c>
      <c r="FIC6" s="108" t="s">
        <v>2</v>
      </c>
      <c r="FID6" s="108" t="s">
        <v>3</v>
      </c>
      <c r="FIE6" s="108" t="s">
        <v>4</v>
      </c>
      <c r="FIF6" s="108" t="s">
        <v>70</v>
      </c>
      <c r="FIG6" s="108" t="s">
        <v>71</v>
      </c>
      <c r="FIH6" s="108" t="s">
        <v>37</v>
      </c>
      <c r="FIL6" s="109" t="s">
        <v>139</v>
      </c>
      <c r="FIM6" s="109" t="s">
        <v>140</v>
      </c>
      <c r="FJH6" s="107" t="s">
        <v>61</v>
      </c>
      <c r="FJI6" s="108" t="s">
        <v>2</v>
      </c>
      <c r="FJJ6" s="108" t="s">
        <v>3</v>
      </c>
      <c r="FJK6" s="108" t="s">
        <v>4</v>
      </c>
      <c r="FJL6" s="108" t="s">
        <v>70</v>
      </c>
      <c r="FJM6" s="108" t="s">
        <v>71</v>
      </c>
      <c r="FJN6" s="108" t="s">
        <v>37</v>
      </c>
      <c r="FJR6" s="109" t="s">
        <v>139</v>
      </c>
      <c r="FJS6" s="109" t="s">
        <v>140</v>
      </c>
      <c r="FKN6" s="107" t="s">
        <v>61</v>
      </c>
      <c r="FKO6" s="108" t="s">
        <v>2</v>
      </c>
      <c r="FKP6" s="108" t="s">
        <v>3</v>
      </c>
      <c r="FKQ6" s="108" t="s">
        <v>4</v>
      </c>
      <c r="FKR6" s="108" t="s">
        <v>70</v>
      </c>
      <c r="FKS6" s="108" t="s">
        <v>71</v>
      </c>
      <c r="FKT6" s="108" t="s">
        <v>37</v>
      </c>
      <c r="FKX6" s="109" t="s">
        <v>139</v>
      </c>
      <c r="FKY6" s="109" t="s">
        <v>140</v>
      </c>
      <c r="FLT6" s="107" t="s">
        <v>61</v>
      </c>
      <c r="FLU6" s="108" t="s">
        <v>2</v>
      </c>
      <c r="FLV6" s="108" t="s">
        <v>3</v>
      </c>
      <c r="FLW6" s="108" t="s">
        <v>4</v>
      </c>
      <c r="FLX6" s="108" t="s">
        <v>70</v>
      </c>
      <c r="FLY6" s="108" t="s">
        <v>71</v>
      </c>
      <c r="FLZ6" s="108" t="s">
        <v>37</v>
      </c>
      <c r="FMD6" s="109" t="s">
        <v>139</v>
      </c>
      <c r="FME6" s="109" t="s">
        <v>140</v>
      </c>
      <c r="FMZ6" s="107" t="s">
        <v>61</v>
      </c>
      <c r="FNA6" s="108" t="s">
        <v>2</v>
      </c>
      <c r="FNB6" s="108" t="s">
        <v>3</v>
      </c>
      <c r="FNC6" s="108" t="s">
        <v>4</v>
      </c>
      <c r="FND6" s="108" t="s">
        <v>70</v>
      </c>
      <c r="FNE6" s="108" t="s">
        <v>71</v>
      </c>
      <c r="FNF6" s="108" t="s">
        <v>37</v>
      </c>
      <c r="FNJ6" s="109" t="s">
        <v>139</v>
      </c>
      <c r="FNK6" s="109" t="s">
        <v>140</v>
      </c>
      <c r="FOF6" s="107" t="s">
        <v>61</v>
      </c>
      <c r="FOG6" s="108" t="s">
        <v>2</v>
      </c>
      <c r="FOH6" s="108" t="s">
        <v>3</v>
      </c>
      <c r="FOI6" s="108" t="s">
        <v>4</v>
      </c>
      <c r="FOJ6" s="108" t="s">
        <v>70</v>
      </c>
      <c r="FOK6" s="108" t="s">
        <v>71</v>
      </c>
      <c r="FOL6" s="108" t="s">
        <v>37</v>
      </c>
      <c r="FOP6" s="109" t="s">
        <v>139</v>
      </c>
      <c r="FOQ6" s="109" t="s">
        <v>140</v>
      </c>
      <c r="FPL6" s="107" t="s">
        <v>61</v>
      </c>
      <c r="FPM6" s="108" t="s">
        <v>2</v>
      </c>
      <c r="FPN6" s="108" t="s">
        <v>3</v>
      </c>
      <c r="FPO6" s="108" t="s">
        <v>4</v>
      </c>
      <c r="FPP6" s="108" t="s">
        <v>70</v>
      </c>
      <c r="FPQ6" s="108" t="s">
        <v>71</v>
      </c>
      <c r="FPR6" s="108" t="s">
        <v>37</v>
      </c>
      <c r="FPV6" s="109" t="s">
        <v>139</v>
      </c>
      <c r="FPW6" s="109" t="s">
        <v>140</v>
      </c>
      <c r="FQR6" s="107" t="s">
        <v>61</v>
      </c>
      <c r="FQS6" s="108" t="s">
        <v>2</v>
      </c>
      <c r="FQT6" s="108" t="s">
        <v>3</v>
      </c>
      <c r="FQU6" s="108" t="s">
        <v>4</v>
      </c>
      <c r="FQV6" s="108" t="s">
        <v>70</v>
      </c>
      <c r="FQW6" s="108" t="s">
        <v>71</v>
      </c>
      <c r="FQX6" s="108" t="s">
        <v>37</v>
      </c>
      <c r="FRB6" s="109" t="s">
        <v>139</v>
      </c>
      <c r="FRC6" s="109" t="s">
        <v>140</v>
      </c>
      <c r="FRX6" s="107" t="s">
        <v>61</v>
      </c>
      <c r="FRY6" s="108" t="s">
        <v>2</v>
      </c>
      <c r="FRZ6" s="108" t="s">
        <v>3</v>
      </c>
      <c r="FSA6" s="108" t="s">
        <v>4</v>
      </c>
      <c r="FSB6" s="108" t="s">
        <v>70</v>
      </c>
      <c r="FSC6" s="108" t="s">
        <v>71</v>
      </c>
      <c r="FSD6" s="108" t="s">
        <v>37</v>
      </c>
      <c r="FSH6" s="109" t="s">
        <v>139</v>
      </c>
      <c r="FSI6" s="109" t="s">
        <v>140</v>
      </c>
      <c r="FTD6" s="107" t="s">
        <v>61</v>
      </c>
      <c r="FTE6" s="108" t="s">
        <v>2</v>
      </c>
      <c r="FTF6" s="108" t="s">
        <v>3</v>
      </c>
      <c r="FTG6" s="108" t="s">
        <v>4</v>
      </c>
      <c r="FTH6" s="108" t="s">
        <v>70</v>
      </c>
      <c r="FTI6" s="108" t="s">
        <v>71</v>
      </c>
      <c r="FTJ6" s="108" t="s">
        <v>37</v>
      </c>
      <c r="FTN6" s="109" t="s">
        <v>139</v>
      </c>
      <c r="FTO6" s="109" t="s">
        <v>140</v>
      </c>
      <c r="FUJ6" s="107" t="s">
        <v>61</v>
      </c>
      <c r="FUK6" s="108" t="s">
        <v>2</v>
      </c>
      <c r="FUL6" s="108" t="s">
        <v>3</v>
      </c>
      <c r="FUM6" s="108" t="s">
        <v>4</v>
      </c>
      <c r="FUN6" s="108" t="s">
        <v>70</v>
      </c>
      <c r="FUO6" s="108" t="s">
        <v>71</v>
      </c>
      <c r="FUP6" s="108" t="s">
        <v>37</v>
      </c>
      <c r="FUT6" s="109" t="s">
        <v>139</v>
      </c>
      <c r="FUU6" s="109" t="s">
        <v>140</v>
      </c>
      <c r="FVP6" s="107" t="s">
        <v>61</v>
      </c>
      <c r="FVQ6" s="108" t="s">
        <v>2</v>
      </c>
      <c r="FVR6" s="108" t="s">
        <v>3</v>
      </c>
      <c r="FVS6" s="108" t="s">
        <v>4</v>
      </c>
      <c r="FVT6" s="108" t="s">
        <v>70</v>
      </c>
      <c r="FVU6" s="108" t="s">
        <v>71</v>
      </c>
      <c r="FVV6" s="108" t="s">
        <v>37</v>
      </c>
      <c r="FVZ6" s="109" t="s">
        <v>139</v>
      </c>
      <c r="FWA6" s="109" t="s">
        <v>140</v>
      </c>
      <c r="FWV6" s="107" t="s">
        <v>61</v>
      </c>
      <c r="FWW6" s="108" t="s">
        <v>2</v>
      </c>
      <c r="FWX6" s="108" t="s">
        <v>3</v>
      </c>
      <c r="FWY6" s="108" t="s">
        <v>4</v>
      </c>
      <c r="FWZ6" s="108" t="s">
        <v>70</v>
      </c>
      <c r="FXA6" s="108" t="s">
        <v>71</v>
      </c>
      <c r="FXB6" s="108" t="s">
        <v>37</v>
      </c>
      <c r="FXF6" s="109" t="s">
        <v>139</v>
      </c>
      <c r="FXG6" s="109" t="s">
        <v>140</v>
      </c>
      <c r="FYB6" s="107" t="s">
        <v>61</v>
      </c>
      <c r="FYC6" s="108" t="s">
        <v>2</v>
      </c>
      <c r="FYD6" s="108" t="s">
        <v>3</v>
      </c>
      <c r="FYE6" s="108" t="s">
        <v>4</v>
      </c>
      <c r="FYF6" s="108" t="s">
        <v>70</v>
      </c>
      <c r="FYG6" s="108" t="s">
        <v>71</v>
      </c>
      <c r="FYH6" s="108" t="s">
        <v>37</v>
      </c>
      <c r="FYL6" s="109" t="s">
        <v>139</v>
      </c>
      <c r="FYM6" s="109" t="s">
        <v>140</v>
      </c>
      <c r="FZH6" s="107" t="s">
        <v>61</v>
      </c>
      <c r="FZI6" s="108" t="s">
        <v>2</v>
      </c>
      <c r="FZJ6" s="108" t="s">
        <v>3</v>
      </c>
      <c r="FZK6" s="108" t="s">
        <v>4</v>
      </c>
      <c r="FZL6" s="108" t="s">
        <v>70</v>
      </c>
      <c r="FZM6" s="108" t="s">
        <v>71</v>
      </c>
      <c r="FZN6" s="108" t="s">
        <v>37</v>
      </c>
      <c r="FZR6" s="109" t="s">
        <v>139</v>
      </c>
      <c r="FZS6" s="109" t="s">
        <v>140</v>
      </c>
      <c r="GAN6" s="107" t="s">
        <v>61</v>
      </c>
      <c r="GAO6" s="108" t="s">
        <v>2</v>
      </c>
      <c r="GAP6" s="108" t="s">
        <v>3</v>
      </c>
      <c r="GAQ6" s="108" t="s">
        <v>4</v>
      </c>
      <c r="GAR6" s="108" t="s">
        <v>70</v>
      </c>
      <c r="GAS6" s="108" t="s">
        <v>71</v>
      </c>
      <c r="GAT6" s="108" t="s">
        <v>37</v>
      </c>
      <c r="GAX6" s="109" t="s">
        <v>139</v>
      </c>
      <c r="GAY6" s="109" t="s">
        <v>140</v>
      </c>
      <c r="GBT6" s="107" t="s">
        <v>61</v>
      </c>
      <c r="GBU6" s="108" t="s">
        <v>2</v>
      </c>
      <c r="GBV6" s="108" t="s">
        <v>3</v>
      </c>
      <c r="GBW6" s="108" t="s">
        <v>4</v>
      </c>
      <c r="GBX6" s="108" t="s">
        <v>70</v>
      </c>
      <c r="GBY6" s="108" t="s">
        <v>71</v>
      </c>
      <c r="GBZ6" s="108" t="s">
        <v>37</v>
      </c>
      <c r="GCD6" s="109" t="s">
        <v>139</v>
      </c>
      <c r="GCE6" s="109" t="s">
        <v>140</v>
      </c>
      <c r="GCZ6" s="107" t="s">
        <v>61</v>
      </c>
      <c r="GDA6" s="108" t="s">
        <v>2</v>
      </c>
      <c r="GDB6" s="108" t="s">
        <v>3</v>
      </c>
      <c r="GDC6" s="108" t="s">
        <v>4</v>
      </c>
      <c r="GDD6" s="108" t="s">
        <v>70</v>
      </c>
      <c r="GDE6" s="108" t="s">
        <v>71</v>
      </c>
      <c r="GDF6" s="108" t="s">
        <v>37</v>
      </c>
      <c r="GDJ6" s="109" t="s">
        <v>139</v>
      </c>
      <c r="GDK6" s="109" t="s">
        <v>140</v>
      </c>
      <c r="GEF6" s="107" t="s">
        <v>61</v>
      </c>
      <c r="GEG6" s="108" t="s">
        <v>2</v>
      </c>
      <c r="GEH6" s="108" t="s">
        <v>3</v>
      </c>
      <c r="GEI6" s="108" t="s">
        <v>4</v>
      </c>
      <c r="GEJ6" s="108" t="s">
        <v>70</v>
      </c>
      <c r="GEK6" s="108" t="s">
        <v>71</v>
      </c>
      <c r="GEL6" s="108" t="s">
        <v>37</v>
      </c>
      <c r="GEP6" s="109" t="s">
        <v>139</v>
      </c>
      <c r="GEQ6" s="109" t="s">
        <v>140</v>
      </c>
      <c r="GFL6" s="107" t="s">
        <v>61</v>
      </c>
      <c r="GFM6" s="108" t="s">
        <v>2</v>
      </c>
      <c r="GFN6" s="108" t="s">
        <v>3</v>
      </c>
      <c r="GFO6" s="108" t="s">
        <v>4</v>
      </c>
      <c r="GFP6" s="108" t="s">
        <v>70</v>
      </c>
      <c r="GFQ6" s="108" t="s">
        <v>71</v>
      </c>
      <c r="GFR6" s="108" t="s">
        <v>37</v>
      </c>
      <c r="GFV6" s="109" t="s">
        <v>139</v>
      </c>
      <c r="GFW6" s="109" t="s">
        <v>140</v>
      </c>
      <c r="GGR6" s="107" t="s">
        <v>61</v>
      </c>
      <c r="GGS6" s="108" t="s">
        <v>2</v>
      </c>
      <c r="GGT6" s="108" t="s">
        <v>3</v>
      </c>
      <c r="GGU6" s="108" t="s">
        <v>4</v>
      </c>
      <c r="GGV6" s="108" t="s">
        <v>70</v>
      </c>
      <c r="GGW6" s="108" t="s">
        <v>71</v>
      </c>
      <c r="GGX6" s="108" t="s">
        <v>37</v>
      </c>
      <c r="GHB6" s="109" t="s">
        <v>139</v>
      </c>
      <c r="GHC6" s="109" t="s">
        <v>140</v>
      </c>
      <c r="GHX6" s="107" t="s">
        <v>61</v>
      </c>
      <c r="GHY6" s="108" t="s">
        <v>2</v>
      </c>
      <c r="GHZ6" s="108" t="s">
        <v>3</v>
      </c>
      <c r="GIA6" s="108" t="s">
        <v>4</v>
      </c>
      <c r="GIB6" s="108" t="s">
        <v>70</v>
      </c>
      <c r="GIC6" s="108" t="s">
        <v>71</v>
      </c>
      <c r="GID6" s="108" t="s">
        <v>37</v>
      </c>
      <c r="GIH6" s="109" t="s">
        <v>139</v>
      </c>
      <c r="GII6" s="109" t="s">
        <v>140</v>
      </c>
      <c r="GJD6" s="107" t="s">
        <v>61</v>
      </c>
      <c r="GJE6" s="108" t="s">
        <v>2</v>
      </c>
      <c r="GJF6" s="108" t="s">
        <v>3</v>
      </c>
      <c r="GJG6" s="108" t="s">
        <v>4</v>
      </c>
      <c r="GJH6" s="108" t="s">
        <v>70</v>
      </c>
      <c r="GJI6" s="108" t="s">
        <v>71</v>
      </c>
      <c r="GJJ6" s="108" t="s">
        <v>37</v>
      </c>
      <c r="GJN6" s="109" t="s">
        <v>139</v>
      </c>
      <c r="GJO6" s="109" t="s">
        <v>140</v>
      </c>
      <c r="GKJ6" s="107" t="s">
        <v>61</v>
      </c>
      <c r="GKK6" s="108" t="s">
        <v>2</v>
      </c>
      <c r="GKL6" s="108" t="s">
        <v>3</v>
      </c>
      <c r="GKM6" s="108" t="s">
        <v>4</v>
      </c>
      <c r="GKN6" s="108" t="s">
        <v>70</v>
      </c>
      <c r="GKO6" s="108" t="s">
        <v>71</v>
      </c>
      <c r="GKP6" s="108" t="s">
        <v>37</v>
      </c>
      <c r="GKT6" s="109" t="s">
        <v>139</v>
      </c>
      <c r="GKU6" s="109" t="s">
        <v>140</v>
      </c>
      <c r="GLP6" s="107" t="s">
        <v>61</v>
      </c>
      <c r="GLQ6" s="108" t="s">
        <v>2</v>
      </c>
      <c r="GLR6" s="108" t="s">
        <v>3</v>
      </c>
      <c r="GLS6" s="108" t="s">
        <v>4</v>
      </c>
      <c r="GLT6" s="108" t="s">
        <v>70</v>
      </c>
      <c r="GLU6" s="108" t="s">
        <v>71</v>
      </c>
      <c r="GLV6" s="108" t="s">
        <v>37</v>
      </c>
      <c r="GLZ6" s="109" t="s">
        <v>139</v>
      </c>
      <c r="GMA6" s="109" t="s">
        <v>140</v>
      </c>
      <c r="GMV6" s="107" t="s">
        <v>61</v>
      </c>
      <c r="GMW6" s="108" t="s">
        <v>2</v>
      </c>
      <c r="GMX6" s="108" t="s">
        <v>3</v>
      </c>
      <c r="GMY6" s="108" t="s">
        <v>4</v>
      </c>
      <c r="GMZ6" s="108" t="s">
        <v>70</v>
      </c>
      <c r="GNA6" s="108" t="s">
        <v>71</v>
      </c>
      <c r="GNB6" s="108" t="s">
        <v>37</v>
      </c>
      <c r="GNF6" s="109" t="s">
        <v>139</v>
      </c>
      <c r="GNG6" s="109" t="s">
        <v>140</v>
      </c>
      <c r="GOB6" s="107" t="s">
        <v>61</v>
      </c>
      <c r="GOC6" s="108" t="s">
        <v>2</v>
      </c>
      <c r="GOD6" s="108" t="s">
        <v>3</v>
      </c>
      <c r="GOE6" s="108" t="s">
        <v>4</v>
      </c>
      <c r="GOF6" s="108" t="s">
        <v>70</v>
      </c>
      <c r="GOG6" s="108" t="s">
        <v>71</v>
      </c>
      <c r="GOH6" s="108" t="s">
        <v>37</v>
      </c>
      <c r="GOL6" s="109" t="s">
        <v>139</v>
      </c>
      <c r="GOM6" s="109" t="s">
        <v>140</v>
      </c>
      <c r="GPH6" s="107" t="s">
        <v>61</v>
      </c>
      <c r="GPI6" s="108" t="s">
        <v>2</v>
      </c>
      <c r="GPJ6" s="108" t="s">
        <v>3</v>
      </c>
      <c r="GPK6" s="108" t="s">
        <v>4</v>
      </c>
      <c r="GPL6" s="108" t="s">
        <v>70</v>
      </c>
      <c r="GPM6" s="108" t="s">
        <v>71</v>
      </c>
      <c r="GPN6" s="108" t="s">
        <v>37</v>
      </c>
      <c r="GPR6" s="109" t="s">
        <v>139</v>
      </c>
      <c r="GPS6" s="109" t="s">
        <v>140</v>
      </c>
      <c r="GQN6" s="107" t="s">
        <v>61</v>
      </c>
      <c r="GQO6" s="108" t="s">
        <v>2</v>
      </c>
      <c r="GQP6" s="108" t="s">
        <v>3</v>
      </c>
      <c r="GQQ6" s="108" t="s">
        <v>4</v>
      </c>
      <c r="GQR6" s="108" t="s">
        <v>70</v>
      </c>
      <c r="GQS6" s="108" t="s">
        <v>71</v>
      </c>
      <c r="GQT6" s="108" t="s">
        <v>37</v>
      </c>
      <c r="GQX6" s="109" t="s">
        <v>139</v>
      </c>
      <c r="GQY6" s="109" t="s">
        <v>140</v>
      </c>
      <c r="GRT6" s="107" t="s">
        <v>61</v>
      </c>
      <c r="GRU6" s="108" t="s">
        <v>2</v>
      </c>
      <c r="GRV6" s="108" t="s">
        <v>3</v>
      </c>
      <c r="GRW6" s="108" t="s">
        <v>4</v>
      </c>
      <c r="GRX6" s="108" t="s">
        <v>70</v>
      </c>
      <c r="GRY6" s="108" t="s">
        <v>71</v>
      </c>
      <c r="GRZ6" s="108" t="s">
        <v>37</v>
      </c>
      <c r="GSD6" s="109" t="s">
        <v>139</v>
      </c>
      <c r="GSE6" s="109" t="s">
        <v>140</v>
      </c>
      <c r="GSZ6" s="107" t="s">
        <v>61</v>
      </c>
      <c r="GTA6" s="108" t="s">
        <v>2</v>
      </c>
      <c r="GTB6" s="108" t="s">
        <v>3</v>
      </c>
      <c r="GTC6" s="108" t="s">
        <v>4</v>
      </c>
      <c r="GTD6" s="108" t="s">
        <v>70</v>
      </c>
      <c r="GTE6" s="108" t="s">
        <v>71</v>
      </c>
      <c r="GTF6" s="108" t="s">
        <v>37</v>
      </c>
      <c r="GTJ6" s="109" t="s">
        <v>139</v>
      </c>
      <c r="GTK6" s="109" t="s">
        <v>140</v>
      </c>
      <c r="GUF6" s="107" t="s">
        <v>61</v>
      </c>
      <c r="GUG6" s="108" t="s">
        <v>2</v>
      </c>
      <c r="GUH6" s="108" t="s">
        <v>3</v>
      </c>
      <c r="GUI6" s="108" t="s">
        <v>4</v>
      </c>
      <c r="GUJ6" s="108" t="s">
        <v>70</v>
      </c>
      <c r="GUK6" s="108" t="s">
        <v>71</v>
      </c>
      <c r="GUL6" s="108" t="s">
        <v>37</v>
      </c>
      <c r="GUP6" s="109" t="s">
        <v>139</v>
      </c>
      <c r="GUQ6" s="109" t="s">
        <v>140</v>
      </c>
      <c r="GVL6" s="107" t="s">
        <v>61</v>
      </c>
      <c r="GVM6" s="108" t="s">
        <v>2</v>
      </c>
      <c r="GVN6" s="108" t="s">
        <v>3</v>
      </c>
      <c r="GVO6" s="108" t="s">
        <v>4</v>
      </c>
      <c r="GVP6" s="108" t="s">
        <v>70</v>
      </c>
      <c r="GVQ6" s="108" t="s">
        <v>71</v>
      </c>
      <c r="GVR6" s="108" t="s">
        <v>37</v>
      </c>
      <c r="GVV6" s="109" t="s">
        <v>139</v>
      </c>
      <c r="GVW6" s="109" t="s">
        <v>140</v>
      </c>
      <c r="GWR6" s="107" t="s">
        <v>61</v>
      </c>
      <c r="GWS6" s="108" t="s">
        <v>2</v>
      </c>
      <c r="GWT6" s="108" t="s">
        <v>3</v>
      </c>
      <c r="GWU6" s="108" t="s">
        <v>4</v>
      </c>
      <c r="GWV6" s="108" t="s">
        <v>70</v>
      </c>
      <c r="GWW6" s="108" t="s">
        <v>71</v>
      </c>
      <c r="GWX6" s="108" t="s">
        <v>37</v>
      </c>
      <c r="GXB6" s="109" t="s">
        <v>139</v>
      </c>
      <c r="GXC6" s="109" t="s">
        <v>140</v>
      </c>
      <c r="GXX6" s="107" t="s">
        <v>61</v>
      </c>
      <c r="GXY6" s="108" t="s">
        <v>2</v>
      </c>
      <c r="GXZ6" s="108" t="s">
        <v>3</v>
      </c>
      <c r="GYA6" s="108" t="s">
        <v>4</v>
      </c>
      <c r="GYB6" s="108" t="s">
        <v>70</v>
      </c>
      <c r="GYC6" s="108" t="s">
        <v>71</v>
      </c>
      <c r="GYD6" s="108" t="s">
        <v>37</v>
      </c>
      <c r="GYH6" s="109" t="s">
        <v>139</v>
      </c>
      <c r="GYI6" s="109" t="s">
        <v>140</v>
      </c>
      <c r="GZD6" s="107" t="s">
        <v>61</v>
      </c>
      <c r="GZE6" s="108" t="s">
        <v>2</v>
      </c>
      <c r="GZF6" s="108" t="s">
        <v>3</v>
      </c>
      <c r="GZG6" s="108" t="s">
        <v>4</v>
      </c>
      <c r="GZH6" s="108" t="s">
        <v>70</v>
      </c>
      <c r="GZI6" s="108" t="s">
        <v>71</v>
      </c>
      <c r="GZJ6" s="108" t="s">
        <v>37</v>
      </c>
      <c r="GZN6" s="109" t="s">
        <v>139</v>
      </c>
      <c r="GZO6" s="109" t="s">
        <v>140</v>
      </c>
      <c r="HAJ6" s="107" t="s">
        <v>61</v>
      </c>
      <c r="HAK6" s="108" t="s">
        <v>2</v>
      </c>
      <c r="HAL6" s="108" t="s">
        <v>3</v>
      </c>
      <c r="HAM6" s="108" t="s">
        <v>4</v>
      </c>
      <c r="HAN6" s="108" t="s">
        <v>70</v>
      </c>
      <c r="HAO6" s="108" t="s">
        <v>71</v>
      </c>
      <c r="HAP6" s="108" t="s">
        <v>37</v>
      </c>
      <c r="HAT6" s="109" t="s">
        <v>139</v>
      </c>
      <c r="HAU6" s="109" t="s">
        <v>140</v>
      </c>
      <c r="HBP6" s="107" t="s">
        <v>61</v>
      </c>
      <c r="HBQ6" s="108" t="s">
        <v>2</v>
      </c>
      <c r="HBR6" s="108" t="s">
        <v>3</v>
      </c>
      <c r="HBS6" s="108" t="s">
        <v>4</v>
      </c>
      <c r="HBT6" s="108" t="s">
        <v>70</v>
      </c>
      <c r="HBU6" s="108" t="s">
        <v>71</v>
      </c>
      <c r="HBV6" s="108" t="s">
        <v>37</v>
      </c>
      <c r="HBZ6" s="109" t="s">
        <v>139</v>
      </c>
      <c r="HCA6" s="109" t="s">
        <v>140</v>
      </c>
      <c r="HCV6" s="107" t="s">
        <v>61</v>
      </c>
      <c r="HCW6" s="108" t="s">
        <v>2</v>
      </c>
      <c r="HCX6" s="108" t="s">
        <v>3</v>
      </c>
      <c r="HCY6" s="108" t="s">
        <v>4</v>
      </c>
      <c r="HCZ6" s="108" t="s">
        <v>70</v>
      </c>
      <c r="HDA6" s="108" t="s">
        <v>71</v>
      </c>
      <c r="HDB6" s="108" t="s">
        <v>37</v>
      </c>
      <c r="HDF6" s="109" t="s">
        <v>139</v>
      </c>
      <c r="HDG6" s="109" t="s">
        <v>140</v>
      </c>
      <c r="HEB6" s="107" t="s">
        <v>61</v>
      </c>
      <c r="HEC6" s="108" t="s">
        <v>2</v>
      </c>
      <c r="HED6" s="108" t="s">
        <v>3</v>
      </c>
      <c r="HEE6" s="108" t="s">
        <v>4</v>
      </c>
      <c r="HEF6" s="108" t="s">
        <v>70</v>
      </c>
      <c r="HEG6" s="108" t="s">
        <v>71</v>
      </c>
      <c r="HEH6" s="108" t="s">
        <v>37</v>
      </c>
      <c r="HEL6" s="109" t="s">
        <v>139</v>
      </c>
      <c r="HEM6" s="109" t="s">
        <v>140</v>
      </c>
      <c r="HFH6" s="107" t="s">
        <v>61</v>
      </c>
      <c r="HFI6" s="108" t="s">
        <v>2</v>
      </c>
      <c r="HFJ6" s="108" t="s">
        <v>3</v>
      </c>
      <c r="HFK6" s="108" t="s">
        <v>4</v>
      </c>
      <c r="HFL6" s="108" t="s">
        <v>70</v>
      </c>
      <c r="HFM6" s="108" t="s">
        <v>71</v>
      </c>
      <c r="HFN6" s="108" t="s">
        <v>37</v>
      </c>
      <c r="HFR6" s="109" t="s">
        <v>139</v>
      </c>
      <c r="HFS6" s="109" t="s">
        <v>140</v>
      </c>
      <c r="HGN6" s="107" t="s">
        <v>61</v>
      </c>
      <c r="HGO6" s="108" t="s">
        <v>2</v>
      </c>
      <c r="HGP6" s="108" t="s">
        <v>3</v>
      </c>
      <c r="HGQ6" s="108" t="s">
        <v>4</v>
      </c>
      <c r="HGR6" s="108" t="s">
        <v>70</v>
      </c>
      <c r="HGS6" s="108" t="s">
        <v>71</v>
      </c>
      <c r="HGT6" s="108" t="s">
        <v>37</v>
      </c>
      <c r="HGX6" s="109" t="s">
        <v>139</v>
      </c>
      <c r="HGY6" s="109" t="s">
        <v>140</v>
      </c>
      <c r="HHT6" s="107" t="s">
        <v>61</v>
      </c>
      <c r="HHU6" s="108" t="s">
        <v>2</v>
      </c>
      <c r="HHV6" s="108" t="s">
        <v>3</v>
      </c>
      <c r="HHW6" s="108" t="s">
        <v>4</v>
      </c>
      <c r="HHX6" s="108" t="s">
        <v>70</v>
      </c>
      <c r="HHY6" s="108" t="s">
        <v>71</v>
      </c>
      <c r="HHZ6" s="108" t="s">
        <v>37</v>
      </c>
      <c r="HID6" s="109" t="s">
        <v>139</v>
      </c>
      <c r="HIE6" s="109" t="s">
        <v>140</v>
      </c>
      <c r="HIZ6" s="107" t="s">
        <v>61</v>
      </c>
      <c r="HJA6" s="108" t="s">
        <v>2</v>
      </c>
      <c r="HJB6" s="108" t="s">
        <v>3</v>
      </c>
      <c r="HJC6" s="108" t="s">
        <v>4</v>
      </c>
      <c r="HJD6" s="108" t="s">
        <v>70</v>
      </c>
      <c r="HJE6" s="108" t="s">
        <v>71</v>
      </c>
      <c r="HJF6" s="108" t="s">
        <v>37</v>
      </c>
      <c r="HJJ6" s="109" t="s">
        <v>139</v>
      </c>
      <c r="HJK6" s="109" t="s">
        <v>140</v>
      </c>
      <c r="HKF6" s="107" t="s">
        <v>61</v>
      </c>
      <c r="HKG6" s="108" t="s">
        <v>2</v>
      </c>
      <c r="HKH6" s="108" t="s">
        <v>3</v>
      </c>
      <c r="HKI6" s="108" t="s">
        <v>4</v>
      </c>
      <c r="HKJ6" s="108" t="s">
        <v>70</v>
      </c>
      <c r="HKK6" s="108" t="s">
        <v>71</v>
      </c>
      <c r="HKL6" s="108" t="s">
        <v>37</v>
      </c>
      <c r="HKP6" s="109" t="s">
        <v>139</v>
      </c>
      <c r="HKQ6" s="109" t="s">
        <v>140</v>
      </c>
      <c r="HLL6" s="107" t="s">
        <v>61</v>
      </c>
      <c r="HLM6" s="108" t="s">
        <v>2</v>
      </c>
      <c r="HLN6" s="108" t="s">
        <v>3</v>
      </c>
      <c r="HLO6" s="108" t="s">
        <v>4</v>
      </c>
      <c r="HLP6" s="108" t="s">
        <v>70</v>
      </c>
      <c r="HLQ6" s="108" t="s">
        <v>71</v>
      </c>
      <c r="HLR6" s="108" t="s">
        <v>37</v>
      </c>
      <c r="HLV6" s="109" t="s">
        <v>139</v>
      </c>
      <c r="HLW6" s="109" t="s">
        <v>140</v>
      </c>
      <c r="HMR6" s="107" t="s">
        <v>61</v>
      </c>
      <c r="HMS6" s="108" t="s">
        <v>2</v>
      </c>
      <c r="HMT6" s="108" t="s">
        <v>3</v>
      </c>
      <c r="HMU6" s="108" t="s">
        <v>4</v>
      </c>
      <c r="HMV6" s="108" t="s">
        <v>70</v>
      </c>
      <c r="HMW6" s="108" t="s">
        <v>71</v>
      </c>
      <c r="HMX6" s="108" t="s">
        <v>37</v>
      </c>
      <c r="HNB6" s="109" t="s">
        <v>139</v>
      </c>
      <c r="HNC6" s="109" t="s">
        <v>140</v>
      </c>
      <c r="HNX6" s="107" t="s">
        <v>61</v>
      </c>
      <c r="HNY6" s="108" t="s">
        <v>2</v>
      </c>
      <c r="HNZ6" s="108" t="s">
        <v>3</v>
      </c>
      <c r="HOA6" s="108" t="s">
        <v>4</v>
      </c>
      <c r="HOB6" s="108" t="s">
        <v>70</v>
      </c>
      <c r="HOC6" s="108" t="s">
        <v>71</v>
      </c>
      <c r="HOD6" s="108" t="s">
        <v>37</v>
      </c>
      <c r="HOH6" s="109" t="s">
        <v>139</v>
      </c>
      <c r="HOI6" s="109" t="s">
        <v>140</v>
      </c>
      <c r="HPD6" s="107" t="s">
        <v>61</v>
      </c>
      <c r="HPE6" s="108" t="s">
        <v>2</v>
      </c>
      <c r="HPF6" s="108" t="s">
        <v>3</v>
      </c>
      <c r="HPG6" s="108" t="s">
        <v>4</v>
      </c>
      <c r="HPH6" s="108" t="s">
        <v>70</v>
      </c>
      <c r="HPI6" s="108" t="s">
        <v>71</v>
      </c>
      <c r="HPJ6" s="108" t="s">
        <v>37</v>
      </c>
      <c r="HPN6" s="109" t="s">
        <v>139</v>
      </c>
      <c r="HPO6" s="109" t="s">
        <v>140</v>
      </c>
      <c r="HQJ6" s="107" t="s">
        <v>61</v>
      </c>
      <c r="HQK6" s="108" t="s">
        <v>2</v>
      </c>
      <c r="HQL6" s="108" t="s">
        <v>3</v>
      </c>
      <c r="HQM6" s="108" t="s">
        <v>4</v>
      </c>
      <c r="HQN6" s="108" t="s">
        <v>70</v>
      </c>
      <c r="HQO6" s="108" t="s">
        <v>71</v>
      </c>
      <c r="HQP6" s="108" t="s">
        <v>37</v>
      </c>
      <c r="HQT6" s="109" t="s">
        <v>139</v>
      </c>
      <c r="HQU6" s="109" t="s">
        <v>140</v>
      </c>
      <c r="HRP6" s="107" t="s">
        <v>61</v>
      </c>
      <c r="HRQ6" s="108" t="s">
        <v>2</v>
      </c>
      <c r="HRR6" s="108" t="s">
        <v>3</v>
      </c>
      <c r="HRS6" s="108" t="s">
        <v>4</v>
      </c>
      <c r="HRT6" s="108" t="s">
        <v>70</v>
      </c>
      <c r="HRU6" s="108" t="s">
        <v>71</v>
      </c>
      <c r="HRV6" s="108" t="s">
        <v>37</v>
      </c>
      <c r="HRZ6" s="109" t="s">
        <v>139</v>
      </c>
      <c r="HSA6" s="109" t="s">
        <v>140</v>
      </c>
      <c r="HSV6" s="107" t="s">
        <v>61</v>
      </c>
      <c r="HSW6" s="108" t="s">
        <v>2</v>
      </c>
      <c r="HSX6" s="108" t="s">
        <v>3</v>
      </c>
      <c r="HSY6" s="108" t="s">
        <v>4</v>
      </c>
      <c r="HSZ6" s="108" t="s">
        <v>70</v>
      </c>
      <c r="HTA6" s="108" t="s">
        <v>71</v>
      </c>
      <c r="HTB6" s="108" t="s">
        <v>37</v>
      </c>
      <c r="HTF6" s="109" t="s">
        <v>139</v>
      </c>
      <c r="HTG6" s="109" t="s">
        <v>140</v>
      </c>
      <c r="HUB6" s="107" t="s">
        <v>61</v>
      </c>
      <c r="HUC6" s="108" t="s">
        <v>2</v>
      </c>
      <c r="HUD6" s="108" t="s">
        <v>3</v>
      </c>
      <c r="HUE6" s="108" t="s">
        <v>4</v>
      </c>
      <c r="HUF6" s="108" t="s">
        <v>70</v>
      </c>
      <c r="HUG6" s="108" t="s">
        <v>71</v>
      </c>
      <c r="HUH6" s="108" t="s">
        <v>37</v>
      </c>
      <c r="HUL6" s="109" t="s">
        <v>139</v>
      </c>
      <c r="HUM6" s="109" t="s">
        <v>140</v>
      </c>
      <c r="HVH6" s="107" t="s">
        <v>61</v>
      </c>
      <c r="HVI6" s="108" t="s">
        <v>2</v>
      </c>
      <c r="HVJ6" s="108" t="s">
        <v>3</v>
      </c>
      <c r="HVK6" s="108" t="s">
        <v>4</v>
      </c>
      <c r="HVL6" s="108" t="s">
        <v>70</v>
      </c>
      <c r="HVM6" s="108" t="s">
        <v>71</v>
      </c>
      <c r="HVN6" s="108" t="s">
        <v>37</v>
      </c>
      <c r="HVR6" s="109" t="s">
        <v>139</v>
      </c>
      <c r="HVS6" s="109" t="s">
        <v>140</v>
      </c>
      <c r="HWN6" s="107" t="s">
        <v>61</v>
      </c>
      <c r="HWO6" s="108" t="s">
        <v>2</v>
      </c>
      <c r="HWP6" s="108" t="s">
        <v>3</v>
      </c>
      <c r="HWQ6" s="108" t="s">
        <v>4</v>
      </c>
      <c r="HWR6" s="108" t="s">
        <v>70</v>
      </c>
      <c r="HWS6" s="108" t="s">
        <v>71</v>
      </c>
      <c r="HWT6" s="108" t="s">
        <v>37</v>
      </c>
      <c r="HWX6" s="109" t="s">
        <v>139</v>
      </c>
      <c r="HWY6" s="109" t="s">
        <v>140</v>
      </c>
      <c r="HXT6" s="107" t="s">
        <v>61</v>
      </c>
      <c r="HXU6" s="108" t="s">
        <v>2</v>
      </c>
      <c r="HXV6" s="108" t="s">
        <v>3</v>
      </c>
      <c r="HXW6" s="108" t="s">
        <v>4</v>
      </c>
      <c r="HXX6" s="108" t="s">
        <v>70</v>
      </c>
      <c r="HXY6" s="108" t="s">
        <v>71</v>
      </c>
      <c r="HXZ6" s="108" t="s">
        <v>37</v>
      </c>
      <c r="HYD6" s="109" t="s">
        <v>139</v>
      </c>
      <c r="HYE6" s="109" t="s">
        <v>140</v>
      </c>
      <c r="HYZ6" s="107" t="s">
        <v>61</v>
      </c>
      <c r="HZA6" s="108" t="s">
        <v>2</v>
      </c>
      <c r="HZB6" s="108" t="s">
        <v>3</v>
      </c>
      <c r="HZC6" s="108" t="s">
        <v>4</v>
      </c>
      <c r="HZD6" s="108" t="s">
        <v>70</v>
      </c>
      <c r="HZE6" s="108" t="s">
        <v>71</v>
      </c>
      <c r="HZF6" s="108" t="s">
        <v>37</v>
      </c>
      <c r="HZJ6" s="109" t="s">
        <v>139</v>
      </c>
      <c r="HZK6" s="109" t="s">
        <v>140</v>
      </c>
      <c r="IAF6" s="107" t="s">
        <v>61</v>
      </c>
      <c r="IAG6" s="108" t="s">
        <v>2</v>
      </c>
      <c r="IAH6" s="108" t="s">
        <v>3</v>
      </c>
      <c r="IAI6" s="108" t="s">
        <v>4</v>
      </c>
      <c r="IAJ6" s="108" t="s">
        <v>70</v>
      </c>
      <c r="IAK6" s="108" t="s">
        <v>71</v>
      </c>
      <c r="IAL6" s="108" t="s">
        <v>37</v>
      </c>
      <c r="IAP6" s="109" t="s">
        <v>139</v>
      </c>
      <c r="IAQ6" s="109" t="s">
        <v>140</v>
      </c>
      <c r="IBL6" s="107" t="s">
        <v>61</v>
      </c>
      <c r="IBM6" s="108" t="s">
        <v>2</v>
      </c>
      <c r="IBN6" s="108" t="s">
        <v>3</v>
      </c>
      <c r="IBO6" s="108" t="s">
        <v>4</v>
      </c>
      <c r="IBP6" s="108" t="s">
        <v>70</v>
      </c>
      <c r="IBQ6" s="108" t="s">
        <v>71</v>
      </c>
      <c r="IBR6" s="108" t="s">
        <v>37</v>
      </c>
      <c r="IBV6" s="109" t="s">
        <v>139</v>
      </c>
      <c r="IBW6" s="109" t="s">
        <v>140</v>
      </c>
      <c r="ICR6" s="107" t="s">
        <v>61</v>
      </c>
      <c r="ICS6" s="108" t="s">
        <v>2</v>
      </c>
      <c r="ICT6" s="108" t="s">
        <v>3</v>
      </c>
      <c r="ICU6" s="108" t="s">
        <v>4</v>
      </c>
      <c r="ICV6" s="108" t="s">
        <v>70</v>
      </c>
      <c r="ICW6" s="108" t="s">
        <v>71</v>
      </c>
      <c r="ICX6" s="108" t="s">
        <v>37</v>
      </c>
      <c r="IDB6" s="109" t="s">
        <v>139</v>
      </c>
      <c r="IDC6" s="109" t="s">
        <v>140</v>
      </c>
      <c r="IDX6" s="107" t="s">
        <v>61</v>
      </c>
      <c r="IDY6" s="108" t="s">
        <v>2</v>
      </c>
      <c r="IDZ6" s="108" t="s">
        <v>3</v>
      </c>
      <c r="IEA6" s="108" t="s">
        <v>4</v>
      </c>
      <c r="IEB6" s="108" t="s">
        <v>70</v>
      </c>
      <c r="IEC6" s="108" t="s">
        <v>71</v>
      </c>
      <c r="IED6" s="108" t="s">
        <v>37</v>
      </c>
      <c r="IEH6" s="109" t="s">
        <v>139</v>
      </c>
      <c r="IEI6" s="109" t="s">
        <v>140</v>
      </c>
      <c r="IFD6" s="107" t="s">
        <v>61</v>
      </c>
      <c r="IFE6" s="108" t="s">
        <v>2</v>
      </c>
      <c r="IFF6" s="108" t="s">
        <v>3</v>
      </c>
      <c r="IFG6" s="108" t="s">
        <v>4</v>
      </c>
      <c r="IFH6" s="108" t="s">
        <v>70</v>
      </c>
      <c r="IFI6" s="108" t="s">
        <v>71</v>
      </c>
      <c r="IFJ6" s="108" t="s">
        <v>37</v>
      </c>
      <c r="IFN6" s="109" t="s">
        <v>139</v>
      </c>
      <c r="IFO6" s="109" t="s">
        <v>140</v>
      </c>
      <c r="IGJ6" s="107" t="s">
        <v>61</v>
      </c>
      <c r="IGK6" s="108" t="s">
        <v>2</v>
      </c>
      <c r="IGL6" s="108" t="s">
        <v>3</v>
      </c>
      <c r="IGM6" s="108" t="s">
        <v>4</v>
      </c>
      <c r="IGN6" s="108" t="s">
        <v>70</v>
      </c>
      <c r="IGO6" s="108" t="s">
        <v>71</v>
      </c>
      <c r="IGP6" s="108" t="s">
        <v>37</v>
      </c>
      <c r="IGT6" s="109" t="s">
        <v>139</v>
      </c>
      <c r="IGU6" s="109" t="s">
        <v>140</v>
      </c>
      <c r="IHP6" s="107" t="s">
        <v>61</v>
      </c>
      <c r="IHQ6" s="108" t="s">
        <v>2</v>
      </c>
      <c r="IHR6" s="108" t="s">
        <v>3</v>
      </c>
      <c r="IHS6" s="108" t="s">
        <v>4</v>
      </c>
      <c r="IHT6" s="108" t="s">
        <v>70</v>
      </c>
      <c r="IHU6" s="108" t="s">
        <v>71</v>
      </c>
      <c r="IHV6" s="108" t="s">
        <v>37</v>
      </c>
      <c r="IHZ6" s="109" t="s">
        <v>139</v>
      </c>
      <c r="IIA6" s="109" t="s">
        <v>140</v>
      </c>
      <c r="IIV6" s="107" t="s">
        <v>61</v>
      </c>
      <c r="IIW6" s="108" t="s">
        <v>2</v>
      </c>
      <c r="IIX6" s="108" t="s">
        <v>3</v>
      </c>
      <c r="IIY6" s="108" t="s">
        <v>4</v>
      </c>
      <c r="IIZ6" s="108" t="s">
        <v>70</v>
      </c>
      <c r="IJA6" s="108" t="s">
        <v>71</v>
      </c>
      <c r="IJB6" s="108" t="s">
        <v>37</v>
      </c>
      <c r="IJF6" s="109" t="s">
        <v>139</v>
      </c>
      <c r="IJG6" s="109" t="s">
        <v>140</v>
      </c>
      <c r="IKB6" s="107" t="s">
        <v>61</v>
      </c>
      <c r="IKC6" s="108" t="s">
        <v>2</v>
      </c>
      <c r="IKD6" s="108" t="s">
        <v>3</v>
      </c>
      <c r="IKE6" s="108" t="s">
        <v>4</v>
      </c>
      <c r="IKF6" s="108" t="s">
        <v>70</v>
      </c>
      <c r="IKG6" s="108" t="s">
        <v>71</v>
      </c>
      <c r="IKH6" s="108" t="s">
        <v>37</v>
      </c>
      <c r="IKL6" s="109" t="s">
        <v>139</v>
      </c>
      <c r="IKM6" s="109" t="s">
        <v>140</v>
      </c>
      <c r="ILH6" s="107" t="s">
        <v>61</v>
      </c>
      <c r="ILI6" s="108" t="s">
        <v>2</v>
      </c>
      <c r="ILJ6" s="108" t="s">
        <v>3</v>
      </c>
      <c r="ILK6" s="108" t="s">
        <v>4</v>
      </c>
      <c r="ILL6" s="108" t="s">
        <v>70</v>
      </c>
      <c r="ILM6" s="108" t="s">
        <v>71</v>
      </c>
      <c r="ILN6" s="108" t="s">
        <v>37</v>
      </c>
      <c r="ILR6" s="109" t="s">
        <v>139</v>
      </c>
      <c r="ILS6" s="109" t="s">
        <v>140</v>
      </c>
      <c r="IMN6" s="107" t="s">
        <v>61</v>
      </c>
      <c r="IMO6" s="108" t="s">
        <v>2</v>
      </c>
      <c r="IMP6" s="108" t="s">
        <v>3</v>
      </c>
      <c r="IMQ6" s="108" t="s">
        <v>4</v>
      </c>
      <c r="IMR6" s="108" t="s">
        <v>70</v>
      </c>
      <c r="IMS6" s="108" t="s">
        <v>71</v>
      </c>
      <c r="IMT6" s="108" t="s">
        <v>37</v>
      </c>
      <c r="IMX6" s="109" t="s">
        <v>139</v>
      </c>
      <c r="IMY6" s="109" t="s">
        <v>140</v>
      </c>
      <c r="INT6" s="107" t="s">
        <v>61</v>
      </c>
      <c r="INU6" s="108" t="s">
        <v>2</v>
      </c>
      <c r="INV6" s="108" t="s">
        <v>3</v>
      </c>
      <c r="INW6" s="108" t="s">
        <v>4</v>
      </c>
      <c r="INX6" s="108" t="s">
        <v>70</v>
      </c>
      <c r="INY6" s="108" t="s">
        <v>71</v>
      </c>
      <c r="INZ6" s="108" t="s">
        <v>37</v>
      </c>
      <c r="IOD6" s="109" t="s">
        <v>139</v>
      </c>
      <c r="IOE6" s="109" t="s">
        <v>140</v>
      </c>
      <c r="IOZ6" s="107" t="s">
        <v>61</v>
      </c>
      <c r="IPA6" s="108" t="s">
        <v>2</v>
      </c>
      <c r="IPB6" s="108" t="s">
        <v>3</v>
      </c>
      <c r="IPC6" s="108" t="s">
        <v>4</v>
      </c>
      <c r="IPD6" s="108" t="s">
        <v>70</v>
      </c>
      <c r="IPE6" s="108" t="s">
        <v>71</v>
      </c>
      <c r="IPF6" s="108" t="s">
        <v>37</v>
      </c>
      <c r="IPJ6" s="109" t="s">
        <v>139</v>
      </c>
      <c r="IPK6" s="109" t="s">
        <v>140</v>
      </c>
      <c r="IQF6" s="107" t="s">
        <v>61</v>
      </c>
      <c r="IQG6" s="108" t="s">
        <v>2</v>
      </c>
      <c r="IQH6" s="108" t="s">
        <v>3</v>
      </c>
      <c r="IQI6" s="108" t="s">
        <v>4</v>
      </c>
      <c r="IQJ6" s="108" t="s">
        <v>70</v>
      </c>
      <c r="IQK6" s="108" t="s">
        <v>71</v>
      </c>
      <c r="IQL6" s="108" t="s">
        <v>37</v>
      </c>
      <c r="IQP6" s="109" t="s">
        <v>139</v>
      </c>
      <c r="IQQ6" s="109" t="s">
        <v>140</v>
      </c>
      <c r="IRL6" s="107" t="s">
        <v>61</v>
      </c>
      <c r="IRM6" s="108" t="s">
        <v>2</v>
      </c>
      <c r="IRN6" s="108" t="s">
        <v>3</v>
      </c>
      <c r="IRO6" s="108" t="s">
        <v>4</v>
      </c>
      <c r="IRP6" s="108" t="s">
        <v>70</v>
      </c>
      <c r="IRQ6" s="108" t="s">
        <v>71</v>
      </c>
      <c r="IRR6" s="108" t="s">
        <v>37</v>
      </c>
      <c r="IRV6" s="109" t="s">
        <v>139</v>
      </c>
      <c r="IRW6" s="109" t="s">
        <v>140</v>
      </c>
      <c r="ISR6" s="107" t="s">
        <v>61</v>
      </c>
      <c r="ISS6" s="108" t="s">
        <v>2</v>
      </c>
      <c r="IST6" s="108" t="s">
        <v>3</v>
      </c>
      <c r="ISU6" s="108" t="s">
        <v>4</v>
      </c>
      <c r="ISV6" s="108" t="s">
        <v>70</v>
      </c>
      <c r="ISW6" s="108" t="s">
        <v>71</v>
      </c>
      <c r="ISX6" s="108" t="s">
        <v>37</v>
      </c>
      <c r="ITB6" s="109" t="s">
        <v>139</v>
      </c>
      <c r="ITC6" s="109" t="s">
        <v>140</v>
      </c>
      <c r="ITX6" s="107" t="s">
        <v>61</v>
      </c>
      <c r="ITY6" s="108" t="s">
        <v>2</v>
      </c>
      <c r="ITZ6" s="108" t="s">
        <v>3</v>
      </c>
      <c r="IUA6" s="108" t="s">
        <v>4</v>
      </c>
      <c r="IUB6" s="108" t="s">
        <v>70</v>
      </c>
      <c r="IUC6" s="108" t="s">
        <v>71</v>
      </c>
      <c r="IUD6" s="108" t="s">
        <v>37</v>
      </c>
      <c r="IUH6" s="109" t="s">
        <v>139</v>
      </c>
      <c r="IUI6" s="109" t="s">
        <v>140</v>
      </c>
      <c r="IVD6" s="107" t="s">
        <v>61</v>
      </c>
      <c r="IVE6" s="108" t="s">
        <v>2</v>
      </c>
      <c r="IVF6" s="108" t="s">
        <v>3</v>
      </c>
      <c r="IVG6" s="108" t="s">
        <v>4</v>
      </c>
      <c r="IVH6" s="108" t="s">
        <v>70</v>
      </c>
      <c r="IVI6" s="108" t="s">
        <v>71</v>
      </c>
      <c r="IVJ6" s="108" t="s">
        <v>37</v>
      </c>
      <c r="IVN6" s="109" t="s">
        <v>139</v>
      </c>
      <c r="IVO6" s="109" t="s">
        <v>140</v>
      </c>
      <c r="IWJ6" s="107" t="s">
        <v>61</v>
      </c>
      <c r="IWK6" s="108" t="s">
        <v>2</v>
      </c>
      <c r="IWL6" s="108" t="s">
        <v>3</v>
      </c>
      <c r="IWM6" s="108" t="s">
        <v>4</v>
      </c>
      <c r="IWN6" s="108" t="s">
        <v>70</v>
      </c>
      <c r="IWO6" s="108" t="s">
        <v>71</v>
      </c>
      <c r="IWP6" s="108" t="s">
        <v>37</v>
      </c>
      <c r="IWT6" s="109" t="s">
        <v>139</v>
      </c>
      <c r="IWU6" s="109" t="s">
        <v>140</v>
      </c>
      <c r="IXP6" s="107" t="s">
        <v>61</v>
      </c>
      <c r="IXQ6" s="108" t="s">
        <v>2</v>
      </c>
      <c r="IXR6" s="108" t="s">
        <v>3</v>
      </c>
      <c r="IXS6" s="108" t="s">
        <v>4</v>
      </c>
      <c r="IXT6" s="108" t="s">
        <v>70</v>
      </c>
      <c r="IXU6" s="108" t="s">
        <v>71</v>
      </c>
      <c r="IXV6" s="108" t="s">
        <v>37</v>
      </c>
      <c r="IXZ6" s="109" t="s">
        <v>139</v>
      </c>
      <c r="IYA6" s="109" t="s">
        <v>140</v>
      </c>
      <c r="IYV6" s="107" t="s">
        <v>61</v>
      </c>
      <c r="IYW6" s="108" t="s">
        <v>2</v>
      </c>
      <c r="IYX6" s="108" t="s">
        <v>3</v>
      </c>
      <c r="IYY6" s="108" t="s">
        <v>4</v>
      </c>
      <c r="IYZ6" s="108" t="s">
        <v>70</v>
      </c>
      <c r="IZA6" s="108" t="s">
        <v>71</v>
      </c>
      <c r="IZB6" s="108" t="s">
        <v>37</v>
      </c>
      <c r="IZF6" s="109" t="s">
        <v>139</v>
      </c>
      <c r="IZG6" s="109" t="s">
        <v>140</v>
      </c>
      <c r="JAB6" s="107" t="s">
        <v>61</v>
      </c>
      <c r="JAC6" s="108" t="s">
        <v>2</v>
      </c>
      <c r="JAD6" s="108" t="s">
        <v>3</v>
      </c>
      <c r="JAE6" s="108" t="s">
        <v>4</v>
      </c>
      <c r="JAF6" s="108" t="s">
        <v>70</v>
      </c>
      <c r="JAG6" s="108" t="s">
        <v>71</v>
      </c>
      <c r="JAH6" s="108" t="s">
        <v>37</v>
      </c>
      <c r="JAL6" s="109" t="s">
        <v>139</v>
      </c>
      <c r="JAM6" s="109" t="s">
        <v>140</v>
      </c>
      <c r="JBH6" s="107" t="s">
        <v>61</v>
      </c>
      <c r="JBI6" s="108" t="s">
        <v>2</v>
      </c>
      <c r="JBJ6" s="108" t="s">
        <v>3</v>
      </c>
      <c r="JBK6" s="108" t="s">
        <v>4</v>
      </c>
      <c r="JBL6" s="108" t="s">
        <v>70</v>
      </c>
      <c r="JBM6" s="108" t="s">
        <v>71</v>
      </c>
      <c r="JBN6" s="108" t="s">
        <v>37</v>
      </c>
      <c r="JBR6" s="109" t="s">
        <v>139</v>
      </c>
      <c r="JBS6" s="109" t="s">
        <v>140</v>
      </c>
      <c r="JCN6" s="107" t="s">
        <v>61</v>
      </c>
      <c r="JCO6" s="108" t="s">
        <v>2</v>
      </c>
      <c r="JCP6" s="108" t="s">
        <v>3</v>
      </c>
      <c r="JCQ6" s="108" t="s">
        <v>4</v>
      </c>
      <c r="JCR6" s="108" t="s">
        <v>70</v>
      </c>
      <c r="JCS6" s="108" t="s">
        <v>71</v>
      </c>
      <c r="JCT6" s="108" t="s">
        <v>37</v>
      </c>
      <c r="JCX6" s="109" t="s">
        <v>139</v>
      </c>
      <c r="JCY6" s="109" t="s">
        <v>140</v>
      </c>
      <c r="JDT6" s="107" t="s">
        <v>61</v>
      </c>
      <c r="JDU6" s="108" t="s">
        <v>2</v>
      </c>
      <c r="JDV6" s="108" t="s">
        <v>3</v>
      </c>
      <c r="JDW6" s="108" t="s">
        <v>4</v>
      </c>
      <c r="JDX6" s="108" t="s">
        <v>70</v>
      </c>
      <c r="JDY6" s="108" t="s">
        <v>71</v>
      </c>
      <c r="JDZ6" s="108" t="s">
        <v>37</v>
      </c>
      <c r="JED6" s="109" t="s">
        <v>139</v>
      </c>
      <c r="JEE6" s="109" t="s">
        <v>140</v>
      </c>
      <c r="JEZ6" s="107" t="s">
        <v>61</v>
      </c>
      <c r="JFA6" s="108" t="s">
        <v>2</v>
      </c>
      <c r="JFB6" s="108" t="s">
        <v>3</v>
      </c>
      <c r="JFC6" s="108" t="s">
        <v>4</v>
      </c>
      <c r="JFD6" s="108" t="s">
        <v>70</v>
      </c>
      <c r="JFE6" s="108" t="s">
        <v>71</v>
      </c>
      <c r="JFF6" s="108" t="s">
        <v>37</v>
      </c>
      <c r="JFJ6" s="109" t="s">
        <v>139</v>
      </c>
      <c r="JFK6" s="109" t="s">
        <v>140</v>
      </c>
      <c r="JGF6" s="107" t="s">
        <v>61</v>
      </c>
      <c r="JGG6" s="108" t="s">
        <v>2</v>
      </c>
      <c r="JGH6" s="108" t="s">
        <v>3</v>
      </c>
      <c r="JGI6" s="108" t="s">
        <v>4</v>
      </c>
      <c r="JGJ6" s="108" t="s">
        <v>70</v>
      </c>
      <c r="JGK6" s="108" t="s">
        <v>71</v>
      </c>
      <c r="JGL6" s="108" t="s">
        <v>37</v>
      </c>
      <c r="JGP6" s="109" t="s">
        <v>139</v>
      </c>
      <c r="JGQ6" s="109" t="s">
        <v>140</v>
      </c>
      <c r="JHL6" s="107" t="s">
        <v>61</v>
      </c>
      <c r="JHM6" s="108" t="s">
        <v>2</v>
      </c>
      <c r="JHN6" s="108" t="s">
        <v>3</v>
      </c>
      <c r="JHO6" s="108" t="s">
        <v>4</v>
      </c>
      <c r="JHP6" s="108" t="s">
        <v>70</v>
      </c>
      <c r="JHQ6" s="108" t="s">
        <v>71</v>
      </c>
      <c r="JHR6" s="108" t="s">
        <v>37</v>
      </c>
      <c r="JHV6" s="109" t="s">
        <v>139</v>
      </c>
      <c r="JHW6" s="109" t="s">
        <v>140</v>
      </c>
      <c r="JIR6" s="107" t="s">
        <v>61</v>
      </c>
      <c r="JIS6" s="108" t="s">
        <v>2</v>
      </c>
      <c r="JIT6" s="108" t="s">
        <v>3</v>
      </c>
      <c r="JIU6" s="108" t="s">
        <v>4</v>
      </c>
      <c r="JIV6" s="108" t="s">
        <v>70</v>
      </c>
      <c r="JIW6" s="108" t="s">
        <v>71</v>
      </c>
      <c r="JIX6" s="108" t="s">
        <v>37</v>
      </c>
      <c r="JJB6" s="109" t="s">
        <v>139</v>
      </c>
      <c r="JJC6" s="109" t="s">
        <v>140</v>
      </c>
      <c r="JJX6" s="107" t="s">
        <v>61</v>
      </c>
      <c r="JJY6" s="108" t="s">
        <v>2</v>
      </c>
      <c r="JJZ6" s="108" t="s">
        <v>3</v>
      </c>
      <c r="JKA6" s="108" t="s">
        <v>4</v>
      </c>
      <c r="JKB6" s="108" t="s">
        <v>70</v>
      </c>
      <c r="JKC6" s="108" t="s">
        <v>71</v>
      </c>
      <c r="JKD6" s="108" t="s">
        <v>37</v>
      </c>
      <c r="JKH6" s="109" t="s">
        <v>139</v>
      </c>
      <c r="JKI6" s="109" t="s">
        <v>140</v>
      </c>
      <c r="JLD6" s="107" t="s">
        <v>61</v>
      </c>
      <c r="JLE6" s="108" t="s">
        <v>2</v>
      </c>
      <c r="JLF6" s="108" t="s">
        <v>3</v>
      </c>
      <c r="JLG6" s="108" t="s">
        <v>4</v>
      </c>
      <c r="JLH6" s="108" t="s">
        <v>70</v>
      </c>
      <c r="JLI6" s="108" t="s">
        <v>71</v>
      </c>
      <c r="JLJ6" s="108" t="s">
        <v>37</v>
      </c>
      <c r="JLN6" s="109" t="s">
        <v>139</v>
      </c>
      <c r="JLO6" s="109" t="s">
        <v>140</v>
      </c>
      <c r="JMJ6" s="107" t="s">
        <v>61</v>
      </c>
      <c r="JMK6" s="108" t="s">
        <v>2</v>
      </c>
      <c r="JML6" s="108" t="s">
        <v>3</v>
      </c>
      <c r="JMM6" s="108" t="s">
        <v>4</v>
      </c>
      <c r="JMN6" s="108" t="s">
        <v>70</v>
      </c>
      <c r="JMO6" s="108" t="s">
        <v>71</v>
      </c>
      <c r="JMP6" s="108" t="s">
        <v>37</v>
      </c>
      <c r="JMT6" s="109" t="s">
        <v>139</v>
      </c>
      <c r="JMU6" s="109" t="s">
        <v>140</v>
      </c>
      <c r="JNP6" s="107" t="s">
        <v>61</v>
      </c>
      <c r="JNQ6" s="108" t="s">
        <v>2</v>
      </c>
      <c r="JNR6" s="108" t="s">
        <v>3</v>
      </c>
      <c r="JNS6" s="108" t="s">
        <v>4</v>
      </c>
      <c r="JNT6" s="108" t="s">
        <v>70</v>
      </c>
      <c r="JNU6" s="108" t="s">
        <v>71</v>
      </c>
      <c r="JNV6" s="108" t="s">
        <v>37</v>
      </c>
      <c r="JNZ6" s="109" t="s">
        <v>139</v>
      </c>
      <c r="JOA6" s="109" t="s">
        <v>140</v>
      </c>
      <c r="JOV6" s="107" t="s">
        <v>61</v>
      </c>
      <c r="JOW6" s="108" t="s">
        <v>2</v>
      </c>
      <c r="JOX6" s="108" t="s">
        <v>3</v>
      </c>
      <c r="JOY6" s="108" t="s">
        <v>4</v>
      </c>
      <c r="JOZ6" s="108" t="s">
        <v>70</v>
      </c>
      <c r="JPA6" s="108" t="s">
        <v>71</v>
      </c>
      <c r="JPB6" s="108" t="s">
        <v>37</v>
      </c>
      <c r="JPF6" s="109" t="s">
        <v>139</v>
      </c>
      <c r="JPG6" s="109" t="s">
        <v>140</v>
      </c>
      <c r="JQB6" s="107" t="s">
        <v>61</v>
      </c>
      <c r="JQC6" s="108" t="s">
        <v>2</v>
      </c>
      <c r="JQD6" s="108" t="s">
        <v>3</v>
      </c>
      <c r="JQE6" s="108" t="s">
        <v>4</v>
      </c>
      <c r="JQF6" s="108" t="s">
        <v>70</v>
      </c>
      <c r="JQG6" s="108" t="s">
        <v>71</v>
      </c>
      <c r="JQH6" s="108" t="s">
        <v>37</v>
      </c>
      <c r="JQL6" s="109" t="s">
        <v>139</v>
      </c>
      <c r="JQM6" s="109" t="s">
        <v>140</v>
      </c>
      <c r="JRH6" s="107" t="s">
        <v>61</v>
      </c>
      <c r="JRI6" s="108" t="s">
        <v>2</v>
      </c>
      <c r="JRJ6" s="108" t="s">
        <v>3</v>
      </c>
      <c r="JRK6" s="108" t="s">
        <v>4</v>
      </c>
      <c r="JRL6" s="108" t="s">
        <v>70</v>
      </c>
      <c r="JRM6" s="108" t="s">
        <v>71</v>
      </c>
      <c r="JRN6" s="108" t="s">
        <v>37</v>
      </c>
      <c r="JRR6" s="109" t="s">
        <v>139</v>
      </c>
      <c r="JRS6" s="109" t="s">
        <v>140</v>
      </c>
      <c r="JSN6" s="107" t="s">
        <v>61</v>
      </c>
      <c r="JSO6" s="108" t="s">
        <v>2</v>
      </c>
      <c r="JSP6" s="108" t="s">
        <v>3</v>
      </c>
      <c r="JSQ6" s="108" t="s">
        <v>4</v>
      </c>
      <c r="JSR6" s="108" t="s">
        <v>70</v>
      </c>
      <c r="JSS6" s="108" t="s">
        <v>71</v>
      </c>
      <c r="JST6" s="108" t="s">
        <v>37</v>
      </c>
      <c r="JSX6" s="109" t="s">
        <v>139</v>
      </c>
      <c r="JSY6" s="109" t="s">
        <v>140</v>
      </c>
      <c r="JTT6" s="107" t="s">
        <v>61</v>
      </c>
      <c r="JTU6" s="108" t="s">
        <v>2</v>
      </c>
      <c r="JTV6" s="108" t="s">
        <v>3</v>
      </c>
      <c r="JTW6" s="108" t="s">
        <v>4</v>
      </c>
      <c r="JTX6" s="108" t="s">
        <v>70</v>
      </c>
      <c r="JTY6" s="108" t="s">
        <v>71</v>
      </c>
      <c r="JTZ6" s="108" t="s">
        <v>37</v>
      </c>
      <c r="JUD6" s="109" t="s">
        <v>139</v>
      </c>
      <c r="JUE6" s="109" t="s">
        <v>140</v>
      </c>
      <c r="JUZ6" s="107" t="s">
        <v>61</v>
      </c>
      <c r="JVA6" s="108" t="s">
        <v>2</v>
      </c>
      <c r="JVB6" s="108" t="s">
        <v>3</v>
      </c>
      <c r="JVC6" s="108" t="s">
        <v>4</v>
      </c>
      <c r="JVD6" s="108" t="s">
        <v>70</v>
      </c>
      <c r="JVE6" s="108" t="s">
        <v>71</v>
      </c>
      <c r="JVF6" s="108" t="s">
        <v>37</v>
      </c>
      <c r="JVJ6" s="109" t="s">
        <v>139</v>
      </c>
      <c r="JVK6" s="109" t="s">
        <v>140</v>
      </c>
      <c r="JWF6" s="107" t="s">
        <v>61</v>
      </c>
      <c r="JWG6" s="108" t="s">
        <v>2</v>
      </c>
      <c r="JWH6" s="108" t="s">
        <v>3</v>
      </c>
      <c r="JWI6" s="108" t="s">
        <v>4</v>
      </c>
      <c r="JWJ6" s="108" t="s">
        <v>70</v>
      </c>
      <c r="JWK6" s="108" t="s">
        <v>71</v>
      </c>
      <c r="JWL6" s="108" t="s">
        <v>37</v>
      </c>
      <c r="JWP6" s="109" t="s">
        <v>139</v>
      </c>
      <c r="JWQ6" s="109" t="s">
        <v>140</v>
      </c>
      <c r="JXL6" s="107" t="s">
        <v>61</v>
      </c>
      <c r="JXM6" s="108" t="s">
        <v>2</v>
      </c>
      <c r="JXN6" s="108" t="s">
        <v>3</v>
      </c>
      <c r="JXO6" s="108" t="s">
        <v>4</v>
      </c>
      <c r="JXP6" s="108" t="s">
        <v>70</v>
      </c>
      <c r="JXQ6" s="108" t="s">
        <v>71</v>
      </c>
      <c r="JXR6" s="108" t="s">
        <v>37</v>
      </c>
      <c r="JXV6" s="109" t="s">
        <v>139</v>
      </c>
      <c r="JXW6" s="109" t="s">
        <v>140</v>
      </c>
      <c r="JYR6" s="107" t="s">
        <v>61</v>
      </c>
      <c r="JYS6" s="108" t="s">
        <v>2</v>
      </c>
      <c r="JYT6" s="108" t="s">
        <v>3</v>
      </c>
      <c r="JYU6" s="108" t="s">
        <v>4</v>
      </c>
      <c r="JYV6" s="108" t="s">
        <v>70</v>
      </c>
      <c r="JYW6" s="108" t="s">
        <v>71</v>
      </c>
      <c r="JYX6" s="108" t="s">
        <v>37</v>
      </c>
      <c r="JZB6" s="109" t="s">
        <v>139</v>
      </c>
      <c r="JZC6" s="109" t="s">
        <v>140</v>
      </c>
      <c r="JZX6" s="107" t="s">
        <v>61</v>
      </c>
      <c r="JZY6" s="108" t="s">
        <v>2</v>
      </c>
      <c r="JZZ6" s="108" t="s">
        <v>3</v>
      </c>
      <c r="KAA6" s="108" t="s">
        <v>4</v>
      </c>
      <c r="KAB6" s="108" t="s">
        <v>70</v>
      </c>
      <c r="KAC6" s="108" t="s">
        <v>71</v>
      </c>
      <c r="KAD6" s="108" t="s">
        <v>37</v>
      </c>
      <c r="KAH6" s="109" t="s">
        <v>139</v>
      </c>
      <c r="KAI6" s="109" t="s">
        <v>140</v>
      </c>
      <c r="KBD6" s="107" t="s">
        <v>61</v>
      </c>
      <c r="KBE6" s="108" t="s">
        <v>2</v>
      </c>
      <c r="KBF6" s="108" t="s">
        <v>3</v>
      </c>
      <c r="KBG6" s="108" t="s">
        <v>4</v>
      </c>
      <c r="KBH6" s="108" t="s">
        <v>70</v>
      </c>
      <c r="KBI6" s="108" t="s">
        <v>71</v>
      </c>
      <c r="KBJ6" s="108" t="s">
        <v>37</v>
      </c>
      <c r="KBN6" s="109" t="s">
        <v>139</v>
      </c>
      <c r="KBO6" s="109" t="s">
        <v>140</v>
      </c>
      <c r="KCJ6" s="107" t="s">
        <v>61</v>
      </c>
      <c r="KCK6" s="108" t="s">
        <v>2</v>
      </c>
      <c r="KCL6" s="108" t="s">
        <v>3</v>
      </c>
      <c r="KCM6" s="108" t="s">
        <v>4</v>
      </c>
      <c r="KCN6" s="108" t="s">
        <v>70</v>
      </c>
      <c r="KCO6" s="108" t="s">
        <v>71</v>
      </c>
      <c r="KCP6" s="108" t="s">
        <v>37</v>
      </c>
      <c r="KCT6" s="109" t="s">
        <v>139</v>
      </c>
      <c r="KCU6" s="109" t="s">
        <v>140</v>
      </c>
      <c r="KDP6" s="107" t="s">
        <v>61</v>
      </c>
      <c r="KDQ6" s="108" t="s">
        <v>2</v>
      </c>
      <c r="KDR6" s="108" t="s">
        <v>3</v>
      </c>
      <c r="KDS6" s="108" t="s">
        <v>4</v>
      </c>
      <c r="KDT6" s="108" t="s">
        <v>70</v>
      </c>
      <c r="KDU6" s="108" t="s">
        <v>71</v>
      </c>
      <c r="KDV6" s="108" t="s">
        <v>37</v>
      </c>
      <c r="KDZ6" s="109" t="s">
        <v>139</v>
      </c>
      <c r="KEA6" s="109" t="s">
        <v>140</v>
      </c>
      <c r="KEV6" s="107" t="s">
        <v>61</v>
      </c>
      <c r="KEW6" s="108" t="s">
        <v>2</v>
      </c>
      <c r="KEX6" s="108" t="s">
        <v>3</v>
      </c>
      <c r="KEY6" s="108" t="s">
        <v>4</v>
      </c>
      <c r="KEZ6" s="108" t="s">
        <v>70</v>
      </c>
      <c r="KFA6" s="108" t="s">
        <v>71</v>
      </c>
      <c r="KFB6" s="108" t="s">
        <v>37</v>
      </c>
      <c r="KFF6" s="109" t="s">
        <v>139</v>
      </c>
      <c r="KFG6" s="109" t="s">
        <v>140</v>
      </c>
      <c r="KGB6" s="107" t="s">
        <v>61</v>
      </c>
      <c r="KGC6" s="108" t="s">
        <v>2</v>
      </c>
      <c r="KGD6" s="108" t="s">
        <v>3</v>
      </c>
      <c r="KGE6" s="108" t="s">
        <v>4</v>
      </c>
      <c r="KGF6" s="108" t="s">
        <v>70</v>
      </c>
      <c r="KGG6" s="108" t="s">
        <v>71</v>
      </c>
      <c r="KGH6" s="108" t="s">
        <v>37</v>
      </c>
      <c r="KGL6" s="109" t="s">
        <v>139</v>
      </c>
      <c r="KGM6" s="109" t="s">
        <v>140</v>
      </c>
      <c r="KHH6" s="107" t="s">
        <v>61</v>
      </c>
      <c r="KHI6" s="108" t="s">
        <v>2</v>
      </c>
      <c r="KHJ6" s="108" t="s">
        <v>3</v>
      </c>
      <c r="KHK6" s="108" t="s">
        <v>4</v>
      </c>
      <c r="KHL6" s="108" t="s">
        <v>70</v>
      </c>
      <c r="KHM6" s="108" t="s">
        <v>71</v>
      </c>
      <c r="KHN6" s="108" t="s">
        <v>37</v>
      </c>
      <c r="KHR6" s="109" t="s">
        <v>139</v>
      </c>
      <c r="KHS6" s="109" t="s">
        <v>140</v>
      </c>
      <c r="KIN6" s="107" t="s">
        <v>61</v>
      </c>
      <c r="KIO6" s="108" t="s">
        <v>2</v>
      </c>
      <c r="KIP6" s="108" t="s">
        <v>3</v>
      </c>
      <c r="KIQ6" s="108" t="s">
        <v>4</v>
      </c>
      <c r="KIR6" s="108" t="s">
        <v>70</v>
      </c>
      <c r="KIS6" s="108" t="s">
        <v>71</v>
      </c>
      <c r="KIT6" s="108" t="s">
        <v>37</v>
      </c>
      <c r="KIX6" s="109" t="s">
        <v>139</v>
      </c>
      <c r="KIY6" s="109" t="s">
        <v>140</v>
      </c>
      <c r="KJT6" s="107" t="s">
        <v>61</v>
      </c>
      <c r="KJU6" s="108" t="s">
        <v>2</v>
      </c>
      <c r="KJV6" s="108" t="s">
        <v>3</v>
      </c>
      <c r="KJW6" s="108" t="s">
        <v>4</v>
      </c>
      <c r="KJX6" s="108" t="s">
        <v>70</v>
      </c>
      <c r="KJY6" s="108" t="s">
        <v>71</v>
      </c>
      <c r="KJZ6" s="108" t="s">
        <v>37</v>
      </c>
      <c r="KKD6" s="109" t="s">
        <v>139</v>
      </c>
      <c r="KKE6" s="109" t="s">
        <v>140</v>
      </c>
      <c r="KKZ6" s="107" t="s">
        <v>61</v>
      </c>
      <c r="KLA6" s="108" t="s">
        <v>2</v>
      </c>
      <c r="KLB6" s="108" t="s">
        <v>3</v>
      </c>
      <c r="KLC6" s="108" t="s">
        <v>4</v>
      </c>
      <c r="KLD6" s="108" t="s">
        <v>70</v>
      </c>
      <c r="KLE6" s="108" t="s">
        <v>71</v>
      </c>
      <c r="KLF6" s="108" t="s">
        <v>37</v>
      </c>
      <c r="KLJ6" s="109" t="s">
        <v>139</v>
      </c>
      <c r="KLK6" s="109" t="s">
        <v>140</v>
      </c>
      <c r="KMF6" s="107" t="s">
        <v>61</v>
      </c>
      <c r="KMG6" s="108" t="s">
        <v>2</v>
      </c>
      <c r="KMH6" s="108" t="s">
        <v>3</v>
      </c>
      <c r="KMI6" s="108" t="s">
        <v>4</v>
      </c>
      <c r="KMJ6" s="108" t="s">
        <v>70</v>
      </c>
      <c r="KMK6" s="108" t="s">
        <v>71</v>
      </c>
      <c r="KML6" s="108" t="s">
        <v>37</v>
      </c>
      <c r="KMP6" s="109" t="s">
        <v>139</v>
      </c>
      <c r="KMQ6" s="109" t="s">
        <v>140</v>
      </c>
      <c r="KNL6" s="107" t="s">
        <v>61</v>
      </c>
      <c r="KNM6" s="108" t="s">
        <v>2</v>
      </c>
      <c r="KNN6" s="108" t="s">
        <v>3</v>
      </c>
      <c r="KNO6" s="108" t="s">
        <v>4</v>
      </c>
      <c r="KNP6" s="108" t="s">
        <v>70</v>
      </c>
      <c r="KNQ6" s="108" t="s">
        <v>71</v>
      </c>
      <c r="KNR6" s="108" t="s">
        <v>37</v>
      </c>
      <c r="KNV6" s="109" t="s">
        <v>139</v>
      </c>
      <c r="KNW6" s="109" t="s">
        <v>140</v>
      </c>
      <c r="KOR6" s="107" t="s">
        <v>61</v>
      </c>
      <c r="KOS6" s="108" t="s">
        <v>2</v>
      </c>
      <c r="KOT6" s="108" t="s">
        <v>3</v>
      </c>
      <c r="KOU6" s="108" t="s">
        <v>4</v>
      </c>
      <c r="KOV6" s="108" t="s">
        <v>70</v>
      </c>
      <c r="KOW6" s="108" t="s">
        <v>71</v>
      </c>
      <c r="KOX6" s="108" t="s">
        <v>37</v>
      </c>
      <c r="KPB6" s="109" t="s">
        <v>139</v>
      </c>
      <c r="KPC6" s="109" t="s">
        <v>140</v>
      </c>
      <c r="KPX6" s="107" t="s">
        <v>61</v>
      </c>
      <c r="KPY6" s="108" t="s">
        <v>2</v>
      </c>
      <c r="KPZ6" s="108" t="s">
        <v>3</v>
      </c>
      <c r="KQA6" s="108" t="s">
        <v>4</v>
      </c>
      <c r="KQB6" s="108" t="s">
        <v>70</v>
      </c>
      <c r="KQC6" s="108" t="s">
        <v>71</v>
      </c>
      <c r="KQD6" s="108" t="s">
        <v>37</v>
      </c>
      <c r="KQH6" s="109" t="s">
        <v>139</v>
      </c>
      <c r="KQI6" s="109" t="s">
        <v>140</v>
      </c>
      <c r="KRD6" s="107" t="s">
        <v>61</v>
      </c>
      <c r="KRE6" s="108" t="s">
        <v>2</v>
      </c>
      <c r="KRF6" s="108" t="s">
        <v>3</v>
      </c>
      <c r="KRG6" s="108" t="s">
        <v>4</v>
      </c>
      <c r="KRH6" s="108" t="s">
        <v>70</v>
      </c>
      <c r="KRI6" s="108" t="s">
        <v>71</v>
      </c>
      <c r="KRJ6" s="108" t="s">
        <v>37</v>
      </c>
      <c r="KRN6" s="109" t="s">
        <v>139</v>
      </c>
      <c r="KRO6" s="109" t="s">
        <v>140</v>
      </c>
      <c r="KSJ6" s="107" t="s">
        <v>61</v>
      </c>
      <c r="KSK6" s="108" t="s">
        <v>2</v>
      </c>
      <c r="KSL6" s="108" t="s">
        <v>3</v>
      </c>
      <c r="KSM6" s="108" t="s">
        <v>4</v>
      </c>
      <c r="KSN6" s="108" t="s">
        <v>70</v>
      </c>
      <c r="KSO6" s="108" t="s">
        <v>71</v>
      </c>
      <c r="KSP6" s="108" t="s">
        <v>37</v>
      </c>
      <c r="KST6" s="109" t="s">
        <v>139</v>
      </c>
      <c r="KSU6" s="109" t="s">
        <v>140</v>
      </c>
      <c r="KTP6" s="107" t="s">
        <v>61</v>
      </c>
      <c r="KTQ6" s="108" t="s">
        <v>2</v>
      </c>
      <c r="KTR6" s="108" t="s">
        <v>3</v>
      </c>
      <c r="KTS6" s="108" t="s">
        <v>4</v>
      </c>
      <c r="KTT6" s="108" t="s">
        <v>70</v>
      </c>
      <c r="KTU6" s="108" t="s">
        <v>71</v>
      </c>
      <c r="KTV6" s="108" t="s">
        <v>37</v>
      </c>
      <c r="KTZ6" s="109" t="s">
        <v>139</v>
      </c>
      <c r="KUA6" s="109" t="s">
        <v>140</v>
      </c>
      <c r="KUV6" s="107" t="s">
        <v>61</v>
      </c>
      <c r="KUW6" s="108" t="s">
        <v>2</v>
      </c>
      <c r="KUX6" s="108" t="s">
        <v>3</v>
      </c>
      <c r="KUY6" s="108" t="s">
        <v>4</v>
      </c>
      <c r="KUZ6" s="108" t="s">
        <v>70</v>
      </c>
      <c r="KVA6" s="108" t="s">
        <v>71</v>
      </c>
      <c r="KVB6" s="108" t="s">
        <v>37</v>
      </c>
      <c r="KVF6" s="109" t="s">
        <v>139</v>
      </c>
      <c r="KVG6" s="109" t="s">
        <v>140</v>
      </c>
      <c r="KWB6" s="107" t="s">
        <v>61</v>
      </c>
      <c r="KWC6" s="108" t="s">
        <v>2</v>
      </c>
      <c r="KWD6" s="108" t="s">
        <v>3</v>
      </c>
      <c r="KWE6" s="108" t="s">
        <v>4</v>
      </c>
      <c r="KWF6" s="108" t="s">
        <v>70</v>
      </c>
      <c r="KWG6" s="108" t="s">
        <v>71</v>
      </c>
      <c r="KWH6" s="108" t="s">
        <v>37</v>
      </c>
      <c r="KWL6" s="109" t="s">
        <v>139</v>
      </c>
      <c r="KWM6" s="109" t="s">
        <v>140</v>
      </c>
      <c r="KXH6" s="107" t="s">
        <v>61</v>
      </c>
      <c r="KXI6" s="108" t="s">
        <v>2</v>
      </c>
      <c r="KXJ6" s="108" t="s">
        <v>3</v>
      </c>
      <c r="KXK6" s="108" t="s">
        <v>4</v>
      </c>
      <c r="KXL6" s="108" t="s">
        <v>70</v>
      </c>
      <c r="KXM6" s="108" t="s">
        <v>71</v>
      </c>
      <c r="KXN6" s="108" t="s">
        <v>37</v>
      </c>
      <c r="KXR6" s="109" t="s">
        <v>139</v>
      </c>
      <c r="KXS6" s="109" t="s">
        <v>140</v>
      </c>
      <c r="KYN6" s="107" t="s">
        <v>61</v>
      </c>
      <c r="KYO6" s="108" t="s">
        <v>2</v>
      </c>
      <c r="KYP6" s="108" t="s">
        <v>3</v>
      </c>
      <c r="KYQ6" s="108" t="s">
        <v>4</v>
      </c>
      <c r="KYR6" s="108" t="s">
        <v>70</v>
      </c>
      <c r="KYS6" s="108" t="s">
        <v>71</v>
      </c>
      <c r="KYT6" s="108" t="s">
        <v>37</v>
      </c>
      <c r="KYX6" s="109" t="s">
        <v>139</v>
      </c>
      <c r="KYY6" s="109" t="s">
        <v>140</v>
      </c>
      <c r="KZT6" s="107" t="s">
        <v>61</v>
      </c>
      <c r="KZU6" s="108" t="s">
        <v>2</v>
      </c>
      <c r="KZV6" s="108" t="s">
        <v>3</v>
      </c>
      <c r="KZW6" s="108" t="s">
        <v>4</v>
      </c>
      <c r="KZX6" s="108" t="s">
        <v>70</v>
      </c>
      <c r="KZY6" s="108" t="s">
        <v>71</v>
      </c>
      <c r="KZZ6" s="108" t="s">
        <v>37</v>
      </c>
      <c r="LAD6" s="109" t="s">
        <v>139</v>
      </c>
      <c r="LAE6" s="109" t="s">
        <v>140</v>
      </c>
      <c r="LAZ6" s="107" t="s">
        <v>61</v>
      </c>
      <c r="LBA6" s="108" t="s">
        <v>2</v>
      </c>
      <c r="LBB6" s="108" t="s">
        <v>3</v>
      </c>
      <c r="LBC6" s="108" t="s">
        <v>4</v>
      </c>
      <c r="LBD6" s="108" t="s">
        <v>70</v>
      </c>
      <c r="LBE6" s="108" t="s">
        <v>71</v>
      </c>
      <c r="LBF6" s="108" t="s">
        <v>37</v>
      </c>
      <c r="LBJ6" s="109" t="s">
        <v>139</v>
      </c>
      <c r="LBK6" s="109" t="s">
        <v>140</v>
      </c>
      <c r="LCF6" s="107" t="s">
        <v>61</v>
      </c>
      <c r="LCG6" s="108" t="s">
        <v>2</v>
      </c>
      <c r="LCH6" s="108" t="s">
        <v>3</v>
      </c>
      <c r="LCI6" s="108" t="s">
        <v>4</v>
      </c>
      <c r="LCJ6" s="108" t="s">
        <v>70</v>
      </c>
      <c r="LCK6" s="108" t="s">
        <v>71</v>
      </c>
      <c r="LCL6" s="108" t="s">
        <v>37</v>
      </c>
      <c r="LCP6" s="109" t="s">
        <v>139</v>
      </c>
      <c r="LCQ6" s="109" t="s">
        <v>140</v>
      </c>
      <c r="LDL6" s="107" t="s">
        <v>61</v>
      </c>
      <c r="LDM6" s="108" t="s">
        <v>2</v>
      </c>
      <c r="LDN6" s="108" t="s">
        <v>3</v>
      </c>
      <c r="LDO6" s="108" t="s">
        <v>4</v>
      </c>
      <c r="LDP6" s="108" t="s">
        <v>70</v>
      </c>
      <c r="LDQ6" s="108" t="s">
        <v>71</v>
      </c>
      <c r="LDR6" s="108" t="s">
        <v>37</v>
      </c>
      <c r="LDV6" s="109" t="s">
        <v>139</v>
      </c>
      <c r="LDW6" s="109" t="s">
        <v>140</v>
      </c>
      <c r="LER6" s="107" t="s">
        <v>61</v>
      </c>
      <c r="LES6" s="108" t="s">
        <v>2</v>
      </c>
      <c r="LET6" s="108" t="s">
        <v>3</v>
      </c>
      <c r="LEU6" s="108" t="s">
        <v>4</v>
      </c>
      <c r="LEV6" s="108" t="s">
        <v>70</v>
      </c>
      <c r="LEW6" s="108" t="s">
        <v>71</v>
      </c>
      <c r="LEX6" s="108" t="s">
        <v>37</v>
      </c>
      <c r="LFB6" s="109" t="s">
        <v>139</v>
      </c>
      <c r="LFC6" s="109" t="s">
        <v>140</v>
      </c>
      <c r="LFX6" s="107" t="s">
        <v>61</v>
      </c>
      <c r="LFY6" s="108" t="s">
        <v>2</v>
      </c>
      <c r="LFZ6" s="108" t="s">
        <v>3</v>
      </c>
      <c r="LGA6" s="108" t="s">
        <v>4</v>
      </c>
      <c r="LGB6" s="108" t="s">
        <v>70</v>
      </c>
      <c r="LGC6" s="108" t="s">
        <v>71</v>
      </c>
      <c r="LGD6" s="108" t="s">
        <v>37</v>
      </c>
      <c r="LGH6" s="109" t="s">
        <v>139</v>
      </c>
      <c r="LGI6" s="109" t="s">
        <v>140</v>
      </c>
      <c r="LHD6" s="107" t="s">
        <v>61</v>
      </c>
      <c r="LHE6" s="108" t="s">
        <v>2</v>
      </c>
      <c r="LHF6" s="108" t="s">
        <v>3</v>
      </c>
      <c r="LHG6" s="108" t="s">
        <v>4</v>
      </c>
      <c r="LHH6" s="108" t="s">
        <v>70</v>
      </c>
      <c r="LHI6" s="108" t="s">
        <v>71</v>
      </c>
      <c r="LHJ6" s="108" t="s">
        <v>37</v>
      </c>
      <c r="LHN6" s="109" t="s">
        <v>139</v>
      </c>
      <c r="LHO6" s="109" t="s">
        <v>140</v>
      </c>
      <c r="LIJ6" s="107" t="s">
        <v>61</v>
      </c>
      <c r="LIK6" s="108" t="s">
        <v>2</v>
      </c>
      <c r="LIL6" s="108" t="s">
        <v>3</v>
      </c>
      <c r="LIM6" s="108" t="s">
        <v>4</v>
      </c>
      <c r="LIN6" s="108" t="s">
        <v>70</v>
      </c>
      <c r="LIO6" s="108" t="s">
        <v>71</v>
      </c>
      <c r="LIP6" s="108" t="s">
        <v>37</v>
      </c>
      <c r="LIT6" s="109" t="s">
        <v>139</v>
      </c>
      <c r="LIU6" s="109" t="s">
        <v>140</v>
      </c>
      <c r="LJP6" s="107" t="s">
        <v>61</v>
      </c>
      <c r="LJQ6" s="108" t="s">
        <v>2</v>
      </c>
      <c r="LJR6" s="108" t="s">
        <v>3</v>
      </c>
      <c r="LJS6" s="108" t="s">
        <v>4</v>
      </c>
      <c r="LJT6" s="108" t="s">
        <v>70</v>
      </c>
      <c r="LJU6" s="108" t="s">
        <v>71</v>
      </c>
      <c r="LJV6" s="108" t="s">
        <v>37</v>
      </c>
      <c r="LJZ6" s="109" t="s">
        <v>139</v>
      </c>
      <c r="LKA6" s="109" t="s">
        <v>140</v>
      </c>
      <c r="LKV6" s="107" t="s">
        <v>61</v>
      </c>
      <c r="LKW6" s="108" t="s">
        <v>2</v>
      </c>
      <c r="LKX6" s="108" t="s">
        <v>3</v>
      </c>
      <c r="LKY6" s="108" t="s">
        <v>4</v>
      </c>
      <c r="LKZ6" s="108" t="s">
        <v>70</v>
      </c>
      <c r="LLA6" s="108" t="s">
        <v>71</v>
      </c>
      <c r="LLB6" s="108" t="s">
        <v>37</v>
      </c>
      <c r="LLF6" s="109" t="s">
        <v>139</v>
      </c>
      <c r="LLG6" s="109" t="s">
        <v>140</v>
      </c>
      <c r="LMB6" s="107" t="s">
        <v>61</v>
      </c>
      <c r="LMC6" s="108" t="s">
        <v>2</v>
      </c>
      <c r="LMD6" s="108" t="s">
        <v>3</v>
      </c>
      <c r="LME6" s="108" t="s">
        <v>4</v>
      </c>
      <c r="LMF6" s="108" t="s">
        <v>70</v>
      </c>
      <c r="LMG6" s="108" t="s">
        <v>71</v>
      </c>
      <c r="LMH6" s="108" t="s">
        <v>37</v>
      </c>
      <c r="LML6" s="109" t="s">
        <v>139</v>
      </c>
      <c r="LMM6" s="109" t="s">
        <v>140</v>
      </c>
      <c r="LNH6" s="107" t="s">
        <v>61</v>
      </c>
      <c r="LNI6" s="108" t="s">
        <v>2</v>
      </c>
      <c r="LNJ6" s="108" t="s">
        <v>3</v>
      </c>
      <c r="LNK6" s="108" t="s">
        <v>4</v>
      </c>
      <c r="LNL6" s="108" t="s">
        <v>70</v>
      </c>
      <c r="LNM6" s="108" t="s">
        <v>71</v>
      </c>
      <c r="LNN6" s="108" t="s">
        <v>37</v>
      </c>
      <c r="LNR6" s="109" t="s">
        <v>139</v>
      </c>
      <c r="LNS6" s="109" t="s">
        <v>140</v>
      </c>
      <c r="LON6" s="107" t="s">
        <v>61</v>
      </c>
      <c r="LOO6" s="108" t="s">
        <v>2</v>
      </c>
      <c r="LOP6" s="108" t="s">
        <v>3</v>
      </c>
      <c r="LOQ6" s="108" t="s">
        <v>4</v>
      </c>
      <c r="LOR6" s="108" t="s">
        <v>70</v>
      </c>
      <c r="LOS6" s="108" t="s">
        <v>71</v>
      </c>
      <c r="LOT6" s="108" t="s">
        <v>37</v>
      </c>
      <c r="LOX6" s="109" t="s">
        <v>139</v>
      </c>
      <c r="LOY6" s="109" t="s">
        <v>140</v>
      </c>
      <c r="LPT6" s="107" t="s">
        <v>61</v>
      </c>
      <c r="LPU6" s="108" t="s">
        <v>2</v>
      </c>
      <c r="LPV6" s="108" t="s">
        <v>3</v>
      </c>
      <c r="LPW6" s="108" t="s">
        <v>4</v>
      </c>
      <c r="LPX6" s="108" t="s">
        <v>70</v>
      </c>
      <c r="LPY6" s="108" t="s">
        <v>71</v>
      </c>
      <c r="LPZ6" s="108" t="s">
        <v>37</v>
      </c>
      <c r="LQD6" s="109" t="s">
        <v>139</v>
      </c>
      <c r="LQE6" s="109" t="s">
        <v>140</v>
      </c>
      <c r="LQZ6" s="107" t="s">
        <v>61</v>
      </c>
      <c r="LRA6" s="108" t="s">
        <v>2</v>
      </c>
      <c r="LRB6" s="108" t="s">
        <v>3</v>
      </c>
      <c r="LRC6" s="108" t="s">
        <v>4</v>
      </c>
      <c r="LRD6" s="108" t="s">
        <v>70</v>
      </c>
      <c r="LRE6" s="108" t="s">
        <v>71</v>
      </c>
      <c r="LRF6" s="108" t="s">
        <v>37</v>
      </c>
      <c r="LRJ6" s="109" t="s">
        <v>139</v>
      </c>
      <c r="LRK6" s="109" t="s">
        <v>140</v>
      </c>
      <c r="LSF6" s="107" t="s">
        <v>61</v>
      </c>
      <c r="LSG6" s="108" t="s">
        <v>2</v>
      </c>
      <c r="LSH6" s="108" t="s">
        <v>3</v>
      </c>
      <c r="LSI6" s="108" t="s">
        <v>4</v>
      </c>
      <c r="LSJ6" s="108" t="s">
        <v>70</v>
      </c>
      <c r="LSK6" s="108" t="s">
        <v>71</v>
      </c>
      <c r="LSL6" s="108" t="s">
        <v>37</v>
      </c>
      <c r="LSP6" s="109" t="s">
        <v>139</v>
      </c>
      <c r="LSQ6" s="109" t="s">
        <v>140</v>
      </c>
      <c r="LTL6" s="107" t="s">
        <v>61</v>
      </c>
      <c r="LTM6" s="108" t="s">
        <v>2</v>
      </c>
      <c r="LTN6" s="108" t="s">
        <v>3</v>
      </c>
      <c r="LTO6" s="108" t="s">
        <v>4</v>
      </c>
      <c r="LTP6" s="108" t="s">
        <v>70</v>
      </c>
      <c r="LTQ6" s="108" t="s">
        <v>71</v>
      </c>
      <c r="LTR6" s="108" t="s">
        <v>37</v>
      </c>
      <c r="LTV6" s="109" t="s">
        <v>139</v>
      </c>
      <c r="LTW6" s="109" t="s">
        <v>140</v>
      </c>
      <c r="LUR6" s="107" t="s">
        <v>61</v>
      </c>
      <c r="LUS6" s="108" t="s">
        <v>2</v>
      </c>
      <c r="LUT6" s="108" t="s">
        <v>3</v>
      </c>
      <c r="LUU6" s="108" t="s">
        <v>4</v>
      </c>
      <c r="LUV6" s="108" t="s">
        <v>70</v>
      </c>
      <c r="LUW6" s="108" t="s">
        <v>71</v>
      </c>
      <c r="LUX6" s="108" t="s">
        <v>37</v>
      </c>
      <c r="LVB6" s="109" t="s">
        <v>139</v>
      </c>
      <c r="LVC6" s="109" t="s">
        <v>140</v>
      </c>
      <c r="LVX6" s="107" t="s">
        <v>61</v>
      </c>
      <c r="LVY6" s="108" t="s">
        <v>2</v>
      </c>
      <c r="LVZ6" s="108" t="s">
        <v>3</v>
      </c>
      <c r="LWA6" s="108" t="s">
        <v>4</v>
      </c>
      <c r="LWB6" s="108" t="s">
        <v>70</v>
      </c>
      <c r="LWC6" s="108" t="s">
        <v>71</v>
      </c>
      <c r="LWD6" s="108" t="s">
        <v>37</v>
      </c>
      <c r="LWH6" s="109" t="s">
        <v>139</v>
      </c>
      <c r="LWI6" s="109" t="s">
        <v>140</v>
      </c>
      <c r="LXD6" s="107" t="s">
        <v>61</v>
      </c>
      <c r="LXE6" s="108" t="s">
        <v>2</v>
      </c>
      <c r="LXF6" s="108" t="s">
        <v>3</v>
      </c>
      <c r="LXG6" s="108" t="s">
        <v>4</v>
      </c>
      <c r="LXH6" s="108" t="s">
        <v>70</v>
      </c>
      <c r="LXI6" s="108" t="s">
        <v>71</v>
      </c>
      <c r="LXJ6" s="108" t="s">
        <v>37</v>
      </c>
      <c r="LXN6" s="109" t="s">
        <v>139</v>
      </c>
      <c r="LXO6" s="109" t="s">
        <v>140</v>
      </c>
      <c r="LYJ6" s="107" t="s">
        <v>61</v>
      </c>
      <c r="LYK6" s="108" t="s">
        <v>2</v>
      </c>
      <c r="LYL6" s="108" t="s">
        <v>3</v>
      </c>
      <c r="LYM6" s="108" t="s">
        <v>4</v>
      </c>
      <c r="LYN6" s="108" t="s">
        <v>70</v>
      </c>
      <c r="LYO6" s="108" t="s">
        <v>71</v>
      </c>
      <c r="LYP6" s="108" t="s">
        <v>37</v>
      </c>
      <c r="LYT6" s="109" t="s">
        <v>139</v>
      </c>
      <c r="LYU6" s="109" t="s">
        <v>140</v>
      </c>
      <c r="LZP6" s="107" t="s">
        <v>61</v>
      </c>
      <c r="LZQ6" s="108" t="s">
        <v>2</v>
      </c>
      <c r="LZR6" s="108" t="s">
        <v>3</v>
      </c>
      <c r="LZS6" s="108" t="s">
        <v>4</v>
      </c>
      <c r="LZT6" s="108" t="s">
        <v>70</v>
      </c>
      <c r="LZU6" s="108" t="s">
        <v>71</v>
      </c>
      <c r="LZV6" s="108" t="s">
        <v>37</v>
      </c>
      <c r="LZZ6" s="109" t="s">
        <v>139</v>
      </c>
      <c r="MAA6" s="109" t="s">
        <v>140</v>
      </c>
      <c r="MAV6" s="107" t="s">
        <v>61</v>
      </c>
      <c r="MAW6" s="108" t="s">
        <v>2</v>
      </c>
      <c r="MAX6" s="108" t="s">
        <v>3</v>
      </c>
      <c r="MAY6" s="108" t="s">
        <v>4</v>
      </c>
      <c r="MAZ6" s="108" t="s">
        <v>70</v>
      </c>
      <c r="MBA6" s="108" t="s">
        <v>71</v>
      </c>
      <c r="MBB6" s="108" t="s">
        <v>37</v>
      </c>
      <c r="MBF6" s="109" t="s">
        <v>139</v>
      </c>
      <c r="MBG6" s="109" t="s">
        <v>140</v>
      </c>
      <c r="MCB6" s="107" t="s">
        <v>61</v>
      </c>
      <c r="MCC6" s="108" t="s">
        <v>2</v>
      </c>
      <c r="MCD6" s="108" t="s">
        <v>3</v>
      </c>
      <c r="MCE6" s="108" t="s">
        <v>4</v>
      </c>
      <c r="MCF6" s="108" t="s">
        <v>70</v>
      </c>
      <c r="MCG6" s="108" t="s">
        <v>71</v>
      </c>
      <c r="MCH6" s="108" t="s">
        <v>37</v>
      </c>
      <c r="MCL6" s="109" t="s">
        <v>139</v>
      </c>
      <c r="MCM6" s="109" t="s">
        <v>140</v>
      </c>
      <c r="MDH6" s="107" t="s">
        <v>61</v>
      </c>
      <c r="MDI6" s="108" t="s">
        <v>2</v>
      </c>
      <c r="MDJ6" s="108" t="s">
        <v>3</v>
      </c>
      <c r="MDK6" s="108" t="s">
        <v>4</v>
      </c>
      <c r="MDL6" s="108" t="s">
        <v>70</v>
      </c>
      <c r="MDM6" s="108" t="s">
        <v>71</v>
      </c>
      <c r="MDN6" s="108" t="s">
        <v>37</v>
      </c>
      <c r="MDR6" s="109" t="s">
        <v>139</v>
      </c>
      <c r="MDS6" s="109" t="s">
        <v>140</v>
      </c>
      <c r="MEN6" s="107" t="s">
        <v>61</v>
      </c>
      <c r="MEO6" s="108" t="s">
        <v>2</v>
      </c>
      <c r="MEP6" s="108" t="s">
        <v>3</v>
      </c>
      <c r="MEQ6" s="108" t="s">
        <v>4</v>
      </c>
      <c r="MER6" s="108" t="s">
        <v>70</v>
      </c>
      <c r="MES6" s="108" t="s">
        <v>71</v>
      </c>
      <c r="MET6" s="108" t="s">
        <v>37</v>
      </c>
      <c r="MEX6" s="109" t="s">
        <v>139</v>
      </c>
      <c r="MEY6" s="109" t="s">
        <v>140</v>
      </c>
      <c r="MFT6" s="107" t="s">
        <v>61</v>
      </c>
      <c r="MFU6" s="108" t="s">
        <v>2</v>
      </c>
      <c r="MFV6" s="108" t="s">
        <v>3</v>
      </c>
      <c r="MFW6" s="108" t="s">
        <v>4</v>
      </c>
      <c r="MFX6" s="108" t="s">
        <v>70</v>
      </c>
      <c r="MFY6" s="108" t="s">
        <v>71</v>
      </c>
      <c r="MFZ6" s="108" t="s">
        <v>37</v>
      </c>
      <c r="MGD6" s="109" t="s">
        <v>139</v>
      </c>
      <c r="MGE6" s="109" t="s">
        <v>140</v>
      </c>
      <c r="MGZ6" s="107" t="s">
        <v>61</v>
      </c>
      <c r="MHA6" s="108" t="s">
        <v>2</v>
      </c>
      <c r="MHB6" s="108" t="s">
        <v>3</v>
      </c>
      <c r="MHC6" s="108" t="s">
        <v>4</v>
      </c>
      <c r="MHD6" s="108" t="s">
        <v>70</v>
      </c>
      <c r="MHE6" s="108" t="s">
        <v>71</v>
      </c>
      <c r="MHF6" s="108" t="s">
        <v>37</v>
      </c>
      <c r="MHJ6" s="109" t="s">
        <v>139</v>
      </c>
      <c r="MHK6" s="109" t="s">
        <v>140</v>
      </c>
      <c r="MIF6" s="107" t="s">
        <v>61</v>
      </c>
      <c r="MIG6" s="108" t="s">
        <v>2</v>
      </c>
      <c r="MIH6" s="108" t="s">
        <v>3</v>
      </c>
      <c r="MII6" s="108" t="s">
        <v>4</v>
      </c>
      <c r="MIJ6" s="108" t="s">
        <v>70</v>
      </c>
      <c r="MIK6" s="108" t="s">
        <v>71</v>
      </c>
      <c r="MIL6" s="108" t="s">
        <v>37</v>
      </c>
      <c r="MIP6" s="109" t="s">
        <v>139</v>
      </c>
      <c r="MIQ6" s="109" t="s">
        <v>140</v>
      </c>
      <c r="MJL6" s="107" t="s">
        <v>61</v>
      </c>
      <c r="MJM6" s="108" t="s">
        <v>2</v>
      </c>
      <c r="MJN6" s="108" t="s">
        <v>3</v>
      </c>
      <c r="MJO6" s="108" t="s">
        <v>4</v>
      </c>
      <c r="MJP6" s="108" t="s">
        <v>70</v>
      </c>
      <c r="MJQ6" s="108" t="s">
        <v>71</v>
      </c>
      <c r="MJR6" s="108" t="s">
        <v>37</v>
      </c>
      <c r="MJV6" s="109" t="s">
        <v>139</v>
      </c>
      <c r="MJW6" s="109" t="s">
        <v>140</v>
      </c>
      <c r="MKR6" s="107" t="s">
        <v>61</v>
      </c>
      <c r="MKS6" s="108" t="s">
        <v>2</v>
      </c>
      <c r="MKT6" s="108" t="s">
        <v>3</v>
      </c>
      <c r="MKU6" s="108" t="s">
        <v>4</v>
      </c>
      <c r="MKV6" s="108" t="s">
        <v>70</v>
      </c>
      <c r="MKW6" s="108" t="s">
        <v>71</v>
      </c>
      <c r="MKX6" s="108" t="s">
        <v>37</v>
      </c>
      <c r="MLB6" s="109" t="s">
        <v>139</v>
      </c>
      <c r="MLC6" s="109" t="s">
        <v>140</v>
      </c>
      <c r="MLX6" s="107" t="s">
        <v>61</v>
      </c>
      <c r="MLY6" s="108" t="s">
        <v>2</v>
      </c>
      <c r="MLZ6" s="108" t="s">
        <v>3</v>
      </c>
      <c r="MMA6" s="108" t="s">
        <v>4</v>
      </c>
      <c r="MMB6" s="108" t="s">
        <v>70</v>
      </c>
      <c r="MMC6" s="108" t="s">
        <v>71</v>
      </c>
      <c r="MMD6" s="108" t="s">
        <v>37</v>
      </c>
      <c r="MMH6" s="109" t="s">
        <v>139</v>
      </c>
      <c r="MMI6" s="109" t="s">
        <v>140</v>
      </c>
      <c r="MND6" s="107" t="s">
        <v>61</v>
      </c>
      <c r="MNE6" s="108" t="s">
        <v>2</v>
      </c>
      <c r="MNF6" s="108" t="s">
        <v>3</v>
      </c>
      <c r="MNG6" s="108" t="s">
        <v>4</v>
      </c>
      <c r="MNH6" s="108" t="s">
        <v>70</v>
      </c>
      <c r="MNI6" s="108" t="s">
        <v>71</v>
      </c>
      <c r="MNJ6" s="108" t="s">
        <v>37</v>
      </c>
      <c r="MNN6" s="109" t="s">
        <v>139</v>
      </c>
      <c r="MNO6" s="109" t="s">
        <v>140</v>
      </c>
      <c r="MOJ6" s="107" t="s">
        <v>61</v>
      </c>
      <c r="MOK6" s="108" t="s">
        <v>2</v>
      </c>
      <c r="MOL6" s="108" t="s">
        <v>3</v>
      </c>
      <c r="MOM6" s="108" t="s">
        <v>4</v>
      </c>
      <c r="MON6" s="108" t="s">
        <v>70</v>
      </c>
      <c r="MOO6" s="108" t="s">
        <v>71</v>
      </c>
      <c r="MOP6" s="108" t="s">
        <v>37</v>
      </c>
      <c r="MOT6" s="109" t="s">
        <v>139</v>
      </c>
      <c r="MOU6" s="109" t="s">
        <v>140</v>
      </c>
      <c r="MPP6" s="107" t="s">
        <v>61</v>
      </c>
      <c r="MPQ6" s="108" t="s">
        <v>2</v>
      </c>
      <c r="MPR6" s="108" t="s">
        <v>3</v>
      </c>
      <c r="MPS6" s="108" t="s">
        <v>4</v>
      </c>
      <c r="MPT6" s="108" t="s">
        <v>70</v>
      </c>
      <c r="MPU6" s="108" t="s">
        <v>71</v>
      </c>
      <c r="MPV6" s="108" t="s">
        <v>37</v>
      </c>
      <c r="MPZ6" s="109" t="s">
        <v>139</v>
      </c>
      <c r="MQA6" s="109" t="s">
        <v>140</v>
      </c>
      <c r="MQV6" s="107" t="s">
        <v>61</v>
      </c>
      <c r="MQW6" s="108" t="s">
        <v>2</v>
      </c>
      <c r="MQX6" s="108" t="s">
        <v>3</v>
      </c>
      <c r="MQY6" s="108" t="s">
        <v>4</v>
      </c>
      <c r="MQZ6" s="108" t="s">
        <v>70</v>
      </c>
      <c r="MRA6" s="108" t="s">
        <v>71</v>
      </c>
      <c r="MRB6" s="108" t="s">
        <v>37</v>
      </c>
      <c r="MRF6" s="109" t="s">
        <v>139</v>
      </c>
      <c r="MRG6" s="109" t="s">
        <v>140</v>
      </c>
      <c r="MSB6" s="107" t="s">
        <v>61</v>
      </c>
      <c r="MSC6" s="108" t="s">
        <v>2</v>
      </c>
      <c r="MSD6" s="108" t="s">
        <v>3</v>
      </c>
      <c r="MSE6" s="108" t="s">
        <v>4</v>
      </c>
      <c r="MSF6" s="108" t="s">
        <v>70</v>
      </c>
      <c r="MSG6" s="108" t="s">
        <v>71</v>
      </c>
      <c r="MSH6" s="108" t="s">
        <v>37</v>
      </c>
      <c r="MSL6" s="109" t="s">
        <v>139</v>
      </c>
      <c r="MSM6" s="109" t="s">
        <v>140</v>
      </c>
      <c r="MTH6" s="107" t="s">
        <v>61</v>
      </c>
      <c r="MTI6" s="108" t="s">
        <v>2</v>
      </c>
      <c r="MTJ6" s="108" t="s">
        <v>3</v>
      </c>
      <c r="MTK6" s="108" t="s">
        <v>4</v>
      </c>
      <c r="MTL6" s="108" t="s">
        <v>70</v>
      </c>
      <c r="MTM6" s="108" t="s">
        <v>71</v>
      </c>
      <c r="MTN6" s="108" t="s">
        <v>37</v>
      </c>
      <c r="MTR6" s="109" t="s">
        <v>139</v>
      </c>
      <c r="MTS6" s="109" t="s">
        <v>140</v>
      </c>
      <c r="MUN6" s="107" t="s">
        <v>61</v>
      </c>
      <c r="MUO6" s="108" t="s">
        <v>2</v>
      </c>
      <c r="MUP6" s="108" t="s">
        <v>3</v>
      </c>
      <c r="MUQ6" s="108" t="s">
        <v>4</v>
      </c>
      <c r="MUR6" s="108" t="s">
        <v>70</v>
      </c>
      <c r="MUS6" s="108" t="s">
        <v>71</v>
      </c>
      <c r="MUT6" s="108" t="s">
        <v>37</v>
      </c>
      <c r="MUX6" s="109" t="s">
        <v>139</v>
      </c>
      <c r="MUY6" s="109" t="s">
        <v>140</v>
      </c>
      <c r="MVT6" s="107" t="s">
        <v>61</v>
      </c>
      <c r="MVU6" s="108" t="s">
        <v>2</v>
      </c>
      <c r="MVV6" s="108" t="s">
        <v>3</v>
      </c>
      <c r="MVW6" s="108" t="s">
        <v>4</v>
      </c>
      <c r="MVX6" s="108" t="s">
        <v>70</v>
      </c>
      <c r="MVY6" s="108" t="s">
        <v>71</v>
      </c>
      <c r="MVZ6" s="108" t="s">
        <v>37</v>
      </c>
      <c r="MWD6" s="109" t="s">
        <v>139</v>
      </c>
      <c r="MWE6" s="109" t="s">
        <v>140</v>
      </c>
      <c r="MWZ6" s="107" t="s">
        <v>61</v>
      </c>
      <c r="MXA6" s="108" t="s">
        <v>2</v>
      </c>
      <c r="MXB6" s="108" t="s">
        <v>3</v>
      </c>
      <c r="MXC6" s="108" t="s">
        <v>4</v>
      </c>
      <c r="MXD6" s="108" t="s">
        <v>70</v>
      </c>
      <c r="MXE6" s="108" t="s">
        <v>71</v>
      </c>
      <c r="MXF6" s="108" t="s">
        <v>37</v>
      </c>
      <c r="MXJ6" s="109" t="s">
        <v>139</v>
      </c>
      <c r="MXK6" s="109" t="s">
        <v>140</v>
      </c>
      <c r="MYF6" s="107" t="s">
        <v>61</v>
      </c>
      <c r="MYG6" s="108" t="s">
        <v>2</v>
      </c>
      <c r="MYH6" s="108" t="s">
        <v>3</v>
      </c>
      <c r="MYI6" s="108" t="s">
        <v>4</v>
      </c>
      <c r="MYJ6" s="108" t="s">
        <v>70</v>
      </c>
      <c r="MYK6" s="108" t="s">
        <v>71</v>
      </c>
      <c r="MYL6" s="108" t="s">
        <v>37</v>
      </c>
      <c r="MYP6" s="109" t="s">
        <v>139</v>
      </c>
      <c r="MYQ6" s="109" t="s">
        <v>140</v>
      </c>
      <c r="MZL6" s="107" t="s">
        <v>61</v>
      </c>
      <c r="MZM6" s="108" t="s">
        <v>2</v>
      </c>
      <c r="MZN6" s="108" t="s">
        <v>3</v>
      </c>
      <c r="MZO6" s="108" t="s">
        <v>4</v>
      </c>
      <c r="MZP6" s="108" t="s">
        <v>70</v>
      </c>
      <c r="MZQ6" s="108" t="s">
        <v>71</v>
      </c>
      <c r="MZR6" s="108" t="s">
        <v>37</v>
      </c>
      <c r="MZV6" s="109" t="s">
        <v>139</v>
      </c>
      <c r="MZW6" s="109" t="s">
        <v>140</v>
      </c>
      <c r="NAR6" s="107" t="s">
        <v>61</v>
      </c>
      <c r="NAS6" s="108" t="s">
        <v>2</v>
      </c>
      <c r="NAT6" s="108" t="s">
        <v>3</v>
      </c>
      <c r="NAU6" s="108" t="s">
        <v>4</v>
      </c>
      <c r="NAV6" s="108" t="s">
        <v>70</v>
      </c>
      <c r="NAW6" s="108" t="s">
        <v>71</v>
      </c>
      <c r="NAX6" s="108" t="s">
        <v>37</v>
      </c>
      <c r="NBB6" s="109" t="s">
        <v>139</v>
      </c>
      <c r="NBC6" s="109" t="s">
        <v>140</v>
      </c>
      <c r="NBX6" s="107" t="s">
        <v>61</v>
      </c>
      <c r="NBY6" s="108" t="s">
        <v>2</v>
      </c>
      <c r="NBZ6" s="108" t="s">
        <v>3</v>
      </c>
      <c r="NCA6" s="108" t="s">
        <v>4</v>
      </c>
      <c r="NCB6" s="108" t="s">
        <v>70</v>
      </c>
      <c r="NCC6" s="108" t="s">
        <v>71</v>
      </c>
      <c r="NCD6" s="108" t="s">
        <v>37</v>
      </c>
      <c r="NCH6" s="109" t="s">
        <v>139</v>
      </c>
      <c r="NCI6" s="109" t="s">
        <v>140</v>
      </c>
      <c r="NDD6" s="107" t="s">
        <v>61</v>
      </c>
      <c r="NDE6" s="108" t="s">
        <v>2</v>
      </c>
      <c r="NDF6" s="108" t="s">
        <v>3</v>
      </c>
      <c r="NDG6" s="108" t="s">
        <v>4</v>
      </c>
      <c r="NDH6" s="108" t="s">
        <v>70</v>
      </c>
      <c r="NDI6" s="108" t="s">
        <v>71</v>
      </c>
      <c r="NDJ6" s="108" t="s">
        <v>37</v>
      </c>
      <c r="NDN6" s="109" t="s">
        <v>139</v>
      </c>
      <c r="NDO6" s="109" t="s">
        <v>140</v>
      </c>
      <c r="NEJ6" s="107" t="s">
        <v>61</v>
      </c>
      <c r="NEK6" s="108" t="s">
        <v>2</v>
      </c>
      <c r="NEL6" s="108" t="s">
        <v>3</v>
      </c>
      <c r="NEM6" s="108" t="s">
        <v>4</v>
      </c>
      <c r="NEN6" s="108" t="s">
        <v>70</v>
      </c>
      <c r="NEO6" s="108" t="s">
        <v>71</v>
      </c>
      <c r="NEP6" s="108" t="s">
        <v>37</v>
      </c>
      <c r="NET6" s="109" t="s">
        <v>139</v>
      </c>
      <c r="NEU6" s="109" t="s">
        <v>140</v>
      </c>
      <c r="NFP6" s="107" t="s">
        <v>61</v>
      </c>
      <c r="NFQ6" s="108" t="s">
        <v>2</v>
      </c>
      <c r="NFR6" s="108" t="s">
        <v>3</v>
      </c>
      <c r="NFS6" s="108" t="s">
        <v>4</v>
      </c>
      <c r="NFT6" s="108" t="s">
        <v>70</v>
      </c>
      <c r="NFU6" s="108" t="s">
        <v>71</v>
      </c>
      <c r="NFV6" s="108" t="s">
        <v>37</v>
      </c>
      <c r="NFZ6" s="109" t="s">
        <v>139</v>
      </c>
      <c r="NGA6" s="109" t="s">
        <v>140</v>
      </c>
      <c r="NGV6" s="107" t="s">
        <v>61</v>
      </c>
      <c r="NGW6" s="108" t="s">
        <v>2</v>
      </c>
      <c r="NGX6" s="108" t="s">
        <v>3</v>
      </c>
      <c r="NGY6" s="108" t="s">
        <v>4</v>
      </c>
      <c r="NGZ6" s="108" t="s">
        <v>70</v>
      </c>
      <c r="NHA6" s="108" t="s">
        <v>71</v>
      </c>
      <c r="NHB6" s="108" t="s">
        <v>37</v>
      </c>
      <c r="NHF6" s="109" t="s">
        <v>139</v>
      </c>
      <c r="NHG6" s="109" t="s">
        <v>140</v>
      </c>
      <c r="NIB6" s="107" t="s">
        <v>61</v>
      </c>
      <c r="NIC6" s="108" t="s">
        <v>2</v>
      </c>
      <c r="NID6" s="108" t="s">
        <v>3</v>
      </c>
      <c r="NIE6" s="108" t="s">
        <v>4</v>
      </c>
      <c r="NIF6" s="108" t="s">
        <v>70</v>
      </c>
      <c r="NIG6" s="108" t="s">
        <v>71</v>
      </c>
      <c r="NIH6" s="108" t="s">
        <v>37</v>
      </c>
      <c r="NIL6" s="109" t="s">
        <v>139</v>
      </c>
      <c r="NIM6" s="109" t="s">
        <v>140</v>
      </c>
      <c r="NJH6" s="107" t="s">
        <v>61</v>
      </c>
      <c r="NJI6" s="108" t="s">
        <v>2</v>
      </c>
      <c r="NJJ6" s="108" t="s">
        <v>3</v>
      </c>
      <c r="NJK6" s="108" t="s">
        <v>4</v>
      </c>
      <c r="NJL6" s="108" t="s">
        <v>70</v>
      </c>
      <c r="NJM6" s="108" t="s">
        <v>71</v>
      </c>
      <c r="NJN6" s="108" t="s">
        <v>37</v>
      </c>
      <c r="NJR6" s="109" t="s">
        <v>139</v>
      </c>
      <c r="NJS6" s="109" t="s">
        <v>140</v>
      </c>
      <c r="NKN6" s="107" t="s">
        <v>61</v>
      </c>
      <c r="NKO6" s="108" t="s">
        <v>2</v>
      </c>
      <c r="NKP6" s="108" t="s">
        <v>3</v>
      </c>
      <c r="NKQ6" s="108" t="s">
        <v>4</v>
      </c>
      <c r="NKR6" s="108" t="s">
        <v>70</v>
      </c>
      <c r="NKS6" s="108" t="s">
        <v>71</v>
      </c>
      <c r="NKT6" s="108" t="s">
        <v>37</v>
      </c>
      <c r="NKX6" s="109" t="s">
        <v>139</v>
      </c>
      <c r="NKY6" s="109" t="s">
        <v>140</v>
      </c>
      <c r="NLT6" s="107" t="s">
        <v>61</v>
      </c>
      <c r="NLU6" s="108" t="s">
        <v>2</v>
      </c>
      <c r="NLV6" s="108" t="s">
        <v>3</v>
      </c>
      <c r="NLW6" s="108" t="s">
        <v>4</v>
      </c>
      <c r="NLX6" s="108" t="s">
        <v>70</v>
      </c>
      <c r="NLY6" s="108" t="s">
        <v>71</v>
      </c>
      <c r="NLZ6" s="108" t="s">
        <v>37</v>
      </c>
      <c r="NMD6" s="109" t="s">
        <v>139</v>
      </c>
      <c r="NME6" s="109" t="s">
        <v>140</v>
      </c>
      <c r="NMZ6" s="107" t="s">
        <v>61</v>
      </c>
      <c r="NNA6" s="108" t="s">
        <v>2</v>
      </c>
      <c r="NNB6" s="108" t="s">
        <v>3</v>
      </c>
      <c r="NNC6" s="108" t="s">
        <v>4</v>
      </c>
      <c r="NND6" s="108" t="s">
        <v>70</v>
      </c>
      <c r="NNE6" s="108" t="s">
        <v>71</v>
      </c>
      <c r="NNF6" s="108" t="s">
        <v>37</v>
      </c>
      <c r="NNJ6" s="109" t="s">
        <v>139</v>
      </c>
      <c r="NNK6" s="109" t="s">
        <v>140</v>
      </c>
      <c r="NOF6" s="107" t="s">
        <v>61</v>
      </c>
      <c r="NOG6" s="108" t="s">
        <v>2</v>
      </c>
      <c r="NOH6" s="108" t="s">
        <v>3</v>
      </c>
      <c r="NOI6" s="108" t="s">
        <v>4</v>
      </c>
      <c r="NOJ6" s="108" t="s">
        <v>70</v>
      </c>
      <c r="NOK6" s="108" t="s">
        <v>71</v>
      </c>
      <c r="NOL6" s="108" t="s">
        <v>37</v>
      </c>
      <c r="NOP6" s="109" t="s">
        <v>139</v>
      </c>
      <c r="NOQ6" s="109" t="s">
        <v>140</v>
      </c>
      <c r="NPL6" s="107" t="s">
        <v>61</v>
      </c>
      <c r="NPM6" s="108" t="s">
        <v>2</v>
      </c>
      <c r="NPN6" s="108" t="s">
        <v>3</v>
      </c>
      <c r="NPO6" s="108" t="s">
        <v>4</v>
      </c>
      <c r="NPP6" s="108" t="s">
        <v>70</v>
      </c>
      <c r="NPQ6" s="108" t="s">
        <v>71</v>
      </c>
      <c r="NPR6" s="108" t="s">
        <v>37</v>
      </c>
      <c r="NPV6" s="109" t="s">
        <v>139</v>
      </c>
      <c r="NPW6" s="109" t="s">
        <v>140</v>
      </c>
      <c r="NQR6" s="107" t="s">
        <v>61</v>
      </c>
      <c r="NQS6" s="108" t="s">
        <v>2</v>
      </c>
      <c r="NQT6" s="108" t="s">
        <v>3</v>
      </c>
      <c r="NQU6" s="108" t="s">
        <v>4</v>
      </c>
      <c r="NQV6" s="108" t="s">
        <v>70</v>
      </c>
      <c r="NQW6" s="108" t="s">
        <v>71</v>
      </c>
      <c r="NQX6" s="108" t="s">
        <v>37</v>
      </c>
      <c r="NRB6" s="109" t="s">
        <v>139</v>
      </c>
      <c r="NRC6" s="109" t="s">
        <v>140</v>
      </c>
      <c r="NRX6" s="107" t="s">
        <v>61</v>
      </c>
      <c r="NRY6" s="108" t="s">
        <v>2</v>
      </c>
      <c r="NRZ6" s="108" t="s">
        <v>3</v>
      </c>
      <c r="NSA6" s="108" t="s">
        <v>4</v>
      </c>
      <c r="NSB6" s="108" t="s">
        <v>70</v>
      </c>
      <c r="NSC6" s="108" t="s">
        <v>71</v>
      </c>
      <c r="NSD6" s="108" t="s">
        <v>37</v>
      </c>
      <c r="NSH6" s="109" t="s">
        <v>139</v>
      </c>
      <c r="NSI6" s="109" t="s">
        <v>140</v>
      </c>
      <c r="NTD6" s="107" t="s">
        <v>61</v>
      </c>
      <c r="NTE6" s="108" t="s">
        <v>2</v>
      </c>
      <c r="NTF6" s="108" t="s">
        <v>3</v>
      </c>
      <c r="NTG6" s="108" t="s">
        <v>4</v>
      </c>
      <c r="NTH6" s="108" t="s">
        <v>70</v>
      </c>
      <c r="NTI6" s="108" t="s">
        <v>71</v>
      </c>
      <c r="NTJ6" s="108" t="s">
        <v>37</v>
      </c>
      <c r="NTN6" s="109" t="s">
        <v>139</v>
      </c>
      <c r="NTO6" s="109" t="s">
        <v>140</v>
      </c>
      <c r="NUJ6" s="107" t="s">
        <v>61</v>
      </c>
      <c r="NUK6" s="108" t="s">
        <v>2</v>
      </c>
      <c r="NUL6" s="108" t="s">
        <v>3</v>
      </c>
      <c r="NUM6" s="108" t="s">
        <v>4</v>
      </c>
      <c r="NUN6" s="108" t="s">
        <v>70</v>
      </c>
      <c r="NUO6" s="108" t="s">
        <v>71</v>
      </c>
      <c r="NUP6" s="108" t="s">
        <v>37</v>
      </c>
      <c r="NUT6" s="109" t="s">
        <v>139</v>
      </c>
      <c r="NUU6" s="109" t="s">
        <v>140</v>
      </c>
      <c r="NVP6" s="107" t="s">
        <v>61</v>
      </c>
      <c r="NVQ6" s="108" t="s">
        <v>2</v>
      </c>
      <c r="NVR6" s="108" t="s">
        <v>3</v>
      </c>
      <c r="NVS6" s="108" t="s">
        <v>4</v>
      </c>
      <c r="NVT6" s="108" t="s">
        <v>70</v>
      </c>
      <c r="NVU6" s="108" t="s">
        <v>71</v>
      </c>
      <c r="NVV6" s="108" t="s">
        <v>37</v>
      </c>
      <c r="NVZ6" s="109" t="s">
        <v>139</v>
      </c>
      <c r="NWA6" s="109" t="s">
        <v>140</v>
      </c>
      <c r="NWV6" s="107" t="s">
        <v>61</v>
      </c>
      <c r="NWW6" s="108" t="s">
        <v>2</v>
      </c>
      <c r="NWX6" s="108" t="s">
        <v>3</v>
      </c>
      <c r="NWY6" s="108" t="s">
        <v>4</v>
      </c>
      <c r="NWZ6" s="108" t="s">
        <v>70</v>
      </c>
      <c r="NXA6" s="108" t="s">
        <v>71</v>
      </c>
      <c r="NXB6" s="108" t="s">
        <v>37</v>
      </c>
      <c r="NXF6" s="109" t="s">
        <v>139</v>
      </c>
      <c r="NXG6" s="109" t="s">
        <v>140</v>
      </c>
      <c r="NYB6" s="107" t="s">
        <v>61</v>
      </c>
      <c r="NYC6" s="108" t="s">
        <v>2</v>
      </c>
      <c r="NYD6" s="108" t="s">
        <v>3</v>
      </c>
      <c r="NYE6" s="108" t="s">
        <v>4</v>
      </c>
      <c r="NYF6" s="108" t="s">
        <v>70</v>
      </c>
      <c r="NYG6" s="108" t="s">
        <v>71</v>
      </c>
      <c r="NYH6" s="108" t="s">
        <v>37</v>
      </c>
      <c r="NYL6" s="109" t="s">
        <v>139</v>
      </c>
      <c r="NYM6" s="109" t="s">
        <v>140</v>
      </c>
      <c r="NZH6" s="107" t="s">
        <v>61</v>
      </c>
      <c r="NZI6" s="108" t="s">
        <v>2</v>
      </c>
      <c r="NZJ6" s="108" t="s">
        <v>3</v>
      </c>
      <c r="NZK6" s="108" t="s">
        <v>4</v>
      </c>
      <c r="NZL6" s="108" t="s">
        <v>70</v>
      </c>
      <c r="NZM6" s="108" t="s">
        <v>71</v>
      </c>
      <c r="NZN6" s="108" t="s">
        <v>37</v>
      </c>
      <c r="NZR6" s="109" t="s">
        <v>139</v>
      </c>
      <c r="NZS6" s="109" t="s">
        <v>140</v>
      </c>
      <c r="OAN6" s="107" t="s">
        <v>61</v>
      </c>
      <c r="OAO6" s="108" t="s">
        <v>2</v>
      </c>
      <c r="OAP6" s="108" t="s">
        <v>3</v>
      </c>
      <c r="OAQ6" s="108" t="s">
        <v>4</v>
      </c>
      <c r="OAR6" s="108" t="s">
        <v>70</v>
      </c>
      <c r="OAS6" s="108" t="s">
        <v>71</v>
      </c>
      <c r="OAT6" s="108" t="s">
        <v>37</v>
      </c>
      <c r="OAX6" s="109" t="s">
        <v>139</v>
      </c>
      <c r="OAY6" s="109" t="s">
        <v>140</v>
      </c>
      <c r="OBT6" s="107" t="s">
        <v>61</v>
      </c>
      <c r="OBU6" s="108" t="s">
        <v>2</v>
      </c>
      <c r="OBV6" s="108" t="s">
        <v>3</v>
      </c>
      <c r="OBW6" s="108" t="s">
        <v>4</v>
      </c>
      <c r="OBX6" s="108" t="s">
        <v>70</v>
      </c>
      <c r="OBY6" s="108" t="s">
        <v>71</v>
      </c>
      <c r="OBZ6" s="108" t="s">
        <v>37</v>
      </c>
      <c r="OCD6" s="109" t="s">
        <v>139</v>
      </c>
      <c r="OCE6" s="109" t="s">
        <v>140</v>
      </c>
      <c r="OCZ6" s="107" t="s">
        <v>61</v>
      </c>
      <c r="ODA6" s="108" t="s">
        <v>2</v>
      </c>
      <c r="ODB6" s="108" t="s">
        <v>3</v>
      </c>
      <c r="ODC6" s="108" t="s">
        <v>4</v>
      </c>
      <c r="ODD6" s="108" t="s">
        <v>70</v>
      </c>
      <c r="ODE6" s="108" t="s">
        <v>71</v>
      </c>
      <c r="ODF6" s="108" t="s">
        <v>37</v>
      </c>
      <c r="ODJ6" s="109" t="s">
        <v>139</v>
      </c>
      <c r="ODK6" s="109" t="s">
        <v>140</v>
      </c>
      <c r="OEF6" s="107" t="s">
        <v>61</v>
      </c>
      <c r="OEG6" s="108" t="s">
        <v>2</v>
      </c>
      <c r="OEH6" s="108" t="s">
        <v>3</v>
      </c>
      <c r="OEI6" s="108" t="s">
        <v>4</v>
      </c>
      <c r="OEJ6" s="108" t="s">
        <v>70</v>
      </c>
      <c r="OEK6" s="108" t="s">
        <v>71</v>
      </c>
      <c r="OEL6" s="108" t="s">
        <v>37</v>
      </c>
      <c r="OEP6" s="109" t="s">
        <v>139</v>
      </c>
      <c r="OEQ6" s="109" t="s">
        <v>140</v>
      </c>
      <c r="OFL6" s="107" t="s">
        <v>61</v>
      </c>
      <c r="OFM6" s="108" t="s">
        <v>2</v>
      </c>
      <c r="OFN6" s="108" t="s">
        <v>3</v>
      </c>
      <c r="OFO6" s="108" t="s">
        <v>4</v>
      </c>
      <c r="OFP6" s="108" t="s">
        <v>70</v>
      </c>
      <c r="OFQ6" s="108" t="s">
        <v>71</v>
      </c>
      <c r="OFR6" s="108" t="s">
        <v>37</v>
      </c>
      <c r="OFV6" s="109" t="s">
        <v>139</v>
      </c>
      <c r="OFW6" s="109" t="s">
        <v>140</v>
      </c>
      <c r="OGR6" s="107" t="s">
        <v>61</v>
      </c>
      <c r="OGS6" s="108" t="s">
        <v>2</v>
      </c>
      <c r="OGT6" s="108" t="s">
        <v>3</v>
      </c>
      <c r="OGU6" s="108" t="s">
        <v>4</v>
      </c>
      <c r="OGV6" s="108" t="s">
        <v>70</v>
      </c>
      <c r="OGW6" s="108" t="s">
        <v>71</v>
      </c>
      <c r="OGX6" s="108" t="s">
        <v>37</v>
      </c>
      <c r="OHB6" s="109" t="s">
        <v>139</v>
      </c>
      <c r="OHC6" s="109" t="s">
        <v>140</v>
      </c>
      <c r="OHX6" s="107" t="s">
        <v>61</v>
      </c>
      <c r="OHY6" s="108" t="s">
        <v>2</v>
      </c>
      <c r="OHZ6" s="108" t="s">
        <v>3</v>
      </c>
      <c r="OIA6" s="108" t="s">
        <v>4</v>
      </c>
      <c r="OIB6" s="108" t="s">
        <v>70</v>
      </c>
      <c r="OIC6" s="108" t="s">
        <v>71</v>
      </c>
      <c r="OID6" s="108" t="s">
        <v>37</v>
      </c>
      <c r="OIH6" s="109" t="s">
        <v>139</v>
      </c>
      <c r="OII6" s="109" t="s">
        <v>140</v>
      </c>
      <c r="OJD6" s="107" t="s">
        <v>61</v>
      </c>
      <c r="OJE6" s="108" t="s">
        <v>2</v>
      </c>
      <c r="OJF6" s="108" t="s">
        <v>3</v>
      </c>
      <c r="OJG6" s="108" t="s">
        <v>4</v>
      </c>
      <c r="OJH6" s="108" t="s">
        <v>70</v>
      </c>
      <c r="OJI6" s="108" t="s">
        <v>71</v>
      </c>
      <c r="OJJ6" s="108" t="s">
        <v>37</v>
      </c>
      <c r="OJN6" s="109" t="s">
        <v>139</v>
      </c>
      <c r="OJO6" s="109" t="s">
        <v>140</v>
      </c>
      <c r="OKJ6" s="107" t="s">
        <v>61</v>
      </c>
      <c r="OKK6" s="108" t="s">
        <v>2</v>
      </c>
      <c r="OKL6" s="108" t="s">
        <v>3</v>
      </c>
      <c r="OKM6" s="108" t="s">
        <v>4</v>
      </c>
      <c r="OKN6" s="108" t="s">
        <v>70</v>
      </c>
      <c r="OKO6" s="108" t="s">
        <v>71</v>
      </c>
      <c r="OKP6" s="108" t="s">
        <v>37</v>
      </c>
      <c r="OKT6" s="109" t="s">
        <v>139</v>
      </c>
      <c r="OKU6" s="109" t="s">
        <v>140</v>
      </c>
      <c r="OLP6" s="107" t="s">
        <v>61</v>
      </c>
      <c r="OLQ6" s="108" t="s">
        <v>2</v>
      </c>
      <c r="OLR6" s="108" t="s">
        <v>3</v>
      </c>
      <c r="OLS6" s="108" t="s">
        <v>4</v>
      </c>
      <c r="OLT6" s="108" t="s">
        <v>70</v>
      </c>
      <c r="OLU6" s="108" t="s">
        <v>71</v>
      </c>
      <c r="OLV6" s="108" t="s">
        <v>37</v>
      </c>
      <c r="OLZ6" s="109" t="s">
        <v>139</v>
      </c>
      <c r="OMA6" s="109" t="s">
        <v>140</v>
      </c>
      <c r="OMV6" s="107" t="s">
        <v>61</v>
      </c>
      <c r="OMW6" s="108" t="s">
        <v>2</v>
      </c>
      <c r="OMX6" s="108" t="s">
        <v>3</v>
      </c>
      <c r="OMY6" s="108" t="s">
        <v>4</v>
      </c>
      <c r="OMZ6" s="108" t="s">
        <v>70</v>
      </c>
      <c r="ONA6" s="108" t="s">
        <v>71</v>
      </c>
      <c r="ONB6" s="108" t="s">
        <v>37</v>
      </c>
      <c r="ONF6" s="109" t="s">
        <v>139</v>
      </c>
      <c r="ONG6" s="109" t="s">
        <v>140</v>
      </c>
      <c r="OOB6" s="107" t="s">
        <v>61</v>
      </c>
      <c r="OOC6" s="108" t="s">
        <v>2</v>
      </c>
      <c r="OOD6" s="108" t="s">
        <v>3</v>
      </c>
      <c r="OOE6" s="108" t="s">
        <v>4</v>
      </c>
      <c r="OOF6" s="108" t="s">
        <v>70</v>
      </c>
      <c r="OOG6" s="108" t="s">
        <v>71</v>
      </c>
      <c r="OOH6" s="108" t="s">
        <v>37</v>
      </c>
      <c r="OOL6" s="109" t="s">
        <v>139</v>
      </c>
      <c r="OOM6" s="109" t="s">
        <v>140</v>
      </c>
      <c r="OPH6" s="107" t="s">
        <v>61</v>
      </c>
      <c r="OPI6" s="108" t="s">
        <v>2</v>
      </c>
      <c r="OPJ6" s="108" t="s">
        <v>3</v>
      </c>
      <c r="OPK6" s="108" t="s">
        <v>4</v>
      </c>
      <c r="OPL6" s="108" t="s">
        <v>70</v>
      </c>
      <c r="OPM6" s="108" t="s">
        <v>71</v>
      </c>
      <c r="OPN6" s="108" t="s">
        <v>37</v>
      </c>
      <c r="OPR6" s="109" t="s">
        <v>139</v>
      </c>
      <c r="OPS6" s="109" t="s">
        <v>140</v>
      </c>
      <c r="OQN6" s="107" t="s">
        <v>61</v>
      </c>
      <c r="OQO6" s="108" t="s">
        <v>2</v>
      </c>
      <c r="OQP6" s="108" t="s">
        <v>3</v>
      </c>
      <c r="OQQ6" s="108" t="s">
        <v>4</v>
      </c>
      <c r="OQR6" s="108" t="s">
        <v>70</v>
      </c>
      <c r="OQS6" s="108" t="s">
        <v>71</v>
      </c>
      <c r="OQT6" s="108" t="s">
        <v>37</v>
      </c>
      <c r="OQX6" s="109" t="s">
        <v>139</v>
      </c>
      <c r="OQY6" s="109" t="s">
        <v>140</v>
      </c>
      <c r="ORT6" s="107" t="s">
        <v>61</v>
      </c>
      <c r="ORU6" s="108" t="s">
        <v>2</v>
      </c>
      <c r="ORV6" s="108" t="s">
        <v>3</v>
      </c>
      <c r="ORW6" s="108" t="s">
        <v>4</v>
      </c>
      <c r="ORX6" s="108" t="s">
        <v>70</v>
      </c>
      <c r="ORY6" s="108" t="s">
        <v>71</v>
      </c>
      <c r="ORZ6" s="108" t="s">
        <v>37</v>
      </c>
      <c r="OSD6" s="109" t="s">
        <v>139</v>
      </c>
      <c r="OSE6" s="109" t="s">
        <v>140</v>
      </c>
      <c r="OSZ6" s="107" t="s">
        <v>61</v>
      </c>
      <c r="OTA6" s="108" t="s">
        <v>2</v>
      </c>
      <c r="OTB6" s="108" t="s">
        <v>3</v>
      </c>
      <c r="OTC6" s="108" t="s">
        <v>4</v>
      </c>
      <c r="OTD6" s="108" t="s">
        <v>70</v>
      </c>
      <c r="OTE6" s="108" t="s">
        <v>71</v>
      </c>
      <c r="OTF6" s="108" t="s">
        <v>37</v>
      </c>
      <c r="OTJ6" s="109" t="s">
        <v>139</v>
      </c>
      <c r="OTK6" s="109" t="s">
        <v>140</v>
      </c>
      <c r="OUF6" s="107" t="s">
        <v>61</v>
      </c>
      <c r="OUG6" s="108" t="s">
        <v>2</v>
      </c>
      <c r="OUH6" s="108" t="s">
        <v>3</v>
      </c>
      <c r="OUI6" s="108" t="s">
        <v>4</v>
      </c>
      <c r="OUJ6" s="108" t="s">
        <v>70</v>
      </c>
      <c r="OUK6" s="108" t="s">
        <v>71</v>
      </c>
      <c r="OUL6" s="108" t="s">
        <v>37</v>
      </c>
      <c r="OUP6" s="109" t="s">
        <v>139</v>
      </c>
      <c r="OUQ6" s="109" t="s">
        <v>140</v>
      </c>
      <c r="OVL6" s="107" t="s">
        <v>61</v>
      </c>
      <c r="OVM6" s="108" t="s">
        <v>2</v>
      </c>
      <c r="OVN6" s="108" t="s">
        <v>3</v>
      </c>
      <c r="OVO6" s="108" t="s">
        <v>4</v>
      </c>
      <c r="OVP6" s="108" t="s">
        <v>70</v>
      </c>
      <c r="OVQ6" s="108" t="s">
        <v>71</v>
      </c>
      <c r="OVR6" s="108" t="s">
        <v>37</v>
      </c>
      <c r="OVV6" s="109" t="s">
        <v>139</v>
      </c>
      <c r="OVW6" s="109" t="s">
        <v>140</v>
      </c>
      <c r="OWR6" s="107" t="s">
        <v>61</v>
      </c>
      <c r="OWS6" s="108" t="s">
        <v>2</v>
      </c>
      <c r="OWT6" s="108" t="s">
        <v>3</v>
      </c>
      <c r="OWU6" s="108" t="s">
        <v>4</v>
      </c>
      <c r="OWV6" s="108" t="s">
        <v>70</v>
      </c>
      <c r="OWW6" s="108" t="s">
        <v>71</v>
      </c>
      <c r="OWX6" s="108" t="s">
        <v>37</v>
      </c>
      <c r="OXB6" s="109" t="s">
        <v>139</v>
      </c>
      <c r="OXC6" s="109" t="s">
        <v>140</v>
      </c>
      <c r="OXX6" s="107" t="s">
        <v>61</v>
      </c>
      <c r="OXY6" s="108" t="s">
        <v>2</v>
      </c>
      <c r="OXZ6" s="108" t="s">
        <v>3</v>
      </c>
      <c r="OYA6" s="108" t="s">
        <v>4</v>
      </c>
      <c r="OYB6" s="108" t="s">
        <v>70</v>
      </c>
      <c r="OYC6" s="108" t="s">
        <v>71</v>
      </c>
      <c r="OYD6" s="108" t="s">
        <v>37</v>
      </c>
      <c r="OYH6" s="109" t="s">
        <v>139</v>
      </c>
      <c r="OYI6" s="109" t="s">
        <v>140</v>
      </c>
      <c r="OZD6" s="107" t="s">
        <v>61</v>
      </c>
      <c r="OZE6" s="108" t="s">
        <v>2</v>
      </c>
      <c r="OZF6" s="108" t="s">
        <v>3</v>
      </c>
      <c r="OZG6" s="108" t="s">
        <v>4</v>
      </c>
      <c r="OZH6" s="108" t="s">
        <v>70</v>
      </c>
      <c r="OZI6" s="108" t="s">
        <v>71</v>
      </c>
      <c r="OZJ6" s="108" t="s">
        <v>37</v>
      </c>
      <c r="OZN6" s="109" t="s">
        <v>139</v>
      </c>
      <c r="OZO6" s="109" t="s">
        <v>140</v>
      </c>
      <c r="PAJ6" s="107" t="s">
        <v>61</v>
      </c>
      <c r="PAK6" s="108" t="s">
        <v>2</v>
      </c>
      <c r="PAL6" s="108" t="s">
        <v>3</v>
      </c>
      <c r="PAM6" s="108" t="s">
        <v>4</v>
      </c>
      <c r="PAN6" s="108" t="s">
        <v>70</v>
      </c>
      <c r="PAO6" s="108" t="s">
        <v>71</v>
      </c>
      <c r="PAP6" s="108" t="s">
        <v>37</v>
      </c>
      <c r="PAT6" s="109" t="s">
        <v>139</v>
      </c>
      <c r="PAU6" s="109" t="s">
        <v>140</v>
      </c>
      <c r="PBP6" s="107" t="s">
        <v>61</v>
      </c>
      <c r="PBQ6" s="108" t="s">
        <v>2</v>
      </c>
      <c r="PBR6" s="108" t="s">
        <v>3</v>
      </c>
      <c r="PBS6" s="108" t="s">
        <v>4</v>
      </c>
      <c r="PBT6" s="108" t="s">
        <v>70</v>
      </c>
      <c r="PBU6" s="108" t="s">
        <v>71</v>
      </c>
      <c r="PBV6" s="108" t="s">
        <v>37</v>
      </c>
      <c r="PBZ6" s="109" t="s">
        <v>139</v>
      </c>
      <c r="PCA6" s="109" t="s">
        <v>140</v>
      </c>
      <c r="PCV6" s="107" t="s">
        <v>61</v>
      </c>
      <c r="PCW6" s="108" t="s">
        <v>2</v>
      </c>
      <c r="PCX6" s="108" t="s">
        <v>3</v>
      </c>
      <c r="PCY6" s="108" t="s">
        <v>4</v>
      </c>
      <c r="PCZ6" s="108" t="s">
        <v>70</v>
      </c>
      <c r="PDA6" s="108" t="s">
        <v>71</v>
      </c>
      <c r="PDB6" s="108" t="s">
        <v>37</v>
      </c>
      <c r="PDF6" s="109" t="s">
        <v>139</v>
      </c>
      <c r="PDG6" s="109" t="s">
        <v>140</v>
      </c>
      <c r="PEB6" s="107" t="s">
        <v>61</v>
      </c>
      <c r="PEC6" s="108" t="s">
        <v>2</v>
      </c>
      <c r="PED6" s="108" t="s">
        <v>3</v>
      </c>
      <c r="PEE6" s="108" t="s">
        <v>4</v>
      </c>
      <c r="PEF6" s="108" t="s">
        <v>70</v>
      </c>
      <c r="PEG6" s="108" t="s">
        <v>71</v>
      </c>
      <c r="PEH6" s="108" t="s">
        <v>37</v>
      </c>
      <c r="PEL6" s="109" t="s">
        <v>139</v>
      </c>
      <c r="PEM6" s="109" t="s">
        <v>140</v>
      </c>
      <c r="PFH6" s="107" t="s">
        <v>61</v>
      </c>
      <c r="PFI6" s="108" t="s">
        <v>2</v>
      </c>
      <c r="PFJ6" s="108" t="s">
        <v>3</v>
      </c>
      <c r="PFK6" s="108" t="s">
        <v>4</v>
      </c>
      <c r="PFL6" s="108" t="s">
        <v>70</v>
      </c>
      <c r="PFM6" s="108" t="s">
        <v>71</v>
      </c>
      <c r="PFN6" s="108" t="s">
        <v>37</v>
      </c>
      <c r="PFR6" s="109" t="s">
        <v>139</v>
      </c>
      <c r="PFS6" s="109" t="s">
        <v>140</v>
      </c>
      <c r="PGN6" s="107" t="s">
        <v>61</v>
      </c>
      <c r="PGO6" s="108" t="s">
        <v>2</v>
      </c>
      <c r="PGP6" s="108" t="s">
        <v>3</v>
      </c>
      <c r="PGQ6" s="108" t="s">
        <v>4</v>
      </c>
      <c r="PGR6" s="108" t="s">
        <v>70</v>
      </c>
      <c r="PGS6" s="108" t="s">
        <v>71</v>
      </c>
      <c r="PGT6" s="108" t="s">
        <v>37</v>
      </c>
      <c r="PGX6" s="109" t="s">
        <v>139</v>
      </c>
      <c r="PGY6" s="109" t="s">
        <v>140</v>
      </c>
      <c r="PHT6" s="107" t="s">
        <v>61</v>
      </c>
      <c r="PHU6" s="108" t="s">
        <v>2</v>
      </c>
      <c r="PHV6" s="108" t="s">
        <v>3</v>
      </c>
      <c r="PHW6" s="108" t="s">
        <v>4</v>
      </c>
      <c r="PHX6" s="108" t="s">
        <v>70</v>
      </c>
      <c r="PHY6" s="108" t="s">
        <v>71</v>
      </c>
      <c r="PHZ6" s="108" t="s">
        <v>37</v>
      </c>
      <c r="PID6" s="109" t="s">
        <v>139</v>
      </c>
      <c r="PIE6" s="109" t="s">
        <v>140</v>
      </c>
      <c r="PIZ6" s="107" t="s">
        <v>61</v>
      </c>
      <c r="PJA6" s="108" t="s">
        <v>2</v>
      </c>
      <c r="PJB6" s="108" t="s">
        <v>3</v>
      </c>
      <c r="PJC6" s="108" t="s">
        <v>4</v>
      </c>
      <c r="PJD6" s="108" t="s">
        <v>70</v>
      </c>
      <c r="PJE6" s="108" t="s">
        <v>71</v>
      </c>
      <c r="PJF6" s="108" t="s">
        <v>37</v>
      </c>
      <c r="PJJ6" s="109" t="s">
        <v>139</v>
      </c>
      <c r="PJK6" s="109" t="s">
        <v>140</v>
      </c>
      <c r="PKF6" s="107" t="s">
        <v>61</v>
      </c>
      <c r="PKG6" s="108" t="s">
        <v>2</v>
      </c>
      <c r="PKH6" s="108" t="s">
        <v>3</v>
      </c>
      <c r="PKI6" s="108" t="s">
        <v>4</v>
      </c>
      <c r="PKJ6" s="108" t="s">
        <v>70</v>
      </c>
      <c r="PKK6" s="108" t="s">
        <v>71</v>
      </c>
      <c r="PKL6" s="108" t="s">
        <v>37</v>
      </c>
      <c r="PKP6" s="109" t="s">
        <v>139</v>
      </c>
      <c r="PKQ6" s="109" t="s">
        <v>140</v>
      </c>
      <c r="PLL6" s="107" t="s">
        <v>61</v>
      </c>
      <c r="PLM6" s="108" t="s">
        <v>2</v>
      </c>
      <c r="PLN6" s="108" t="s">
        <v>3</v>
      </c>
      <c r="PLO6" s="108" t="s">
        <v>4</v>
      </c>
      <c r="PLP6" s="108" t="s">
        <v>70</v>
      </c>
      <c r="PLQ6" s="108" t="s">
        <v>71</v>
      </c>
      <c r="PLR6" s="108" t="s">
        <v>37</v>
      </c>
      <c r="PLV6" s="109" t="s">
        <v>139</v>
      </c>
      <c r="PLW6" s="109" t="s">
        <v>140</v>
      </c>
      <c r="PMR6" s="107" t="s">
        <v>61</v>
      </c>
      <c r="PMS6" s="108" t="s">
        <v>2</v>
      </c>
      <c r="PMT6" s="108" t="s">
        <v>3</v>
      </c>
      <c r="PMU6" s="108" t="s">
        <v>4</v>
      </c>
      <c r="PMV6" s="108" t="s">
        <v>70</v>
      </c>
      <c r="PMW6" s="108" t="s">
        <v>71</v>
      </c>
      <c r="PMX6" s="108" t="s">
        <v>37</v>
      </c>
      <c r="PNB6" s="109" t="s">
        <v>139</v>
      </c>
      <c r="PNC6" s="109" t="s">
        <v>140</v>
      </c>
      <c r="PNX6" s="107" t="s">
        <v>61</v>
      </c>
      <c r="PNY6" s="108" t="s">
        <v>2</v>
      </c>
      <c r="PNZ6" s="108" t="s">
        <v>3</v>
      </c>
      <c r="POA6" s="108" t="s">
        <v>4</v>
      </c>
      <c r="POB6" s="108" t="s">
        <v>70</v>
      </c>
      <c r="POC6" s="108" t="s">
        <v>71</v>
      </c>
      <c r="POD6" s="108" t="s">
        <v>37</v>
      </c>
      <c r="POH6" s="109" t="s">
        <v>139</v>
      </c>
      <c r="POI6" s="109" t="s">
        <v>140</v>
      </c>
      <c r="PPD6" s="107" t="s">
        <v>61</v>
      </c>
      <c r="PPE6" s="108" t="s">
        <v>2</v>
      </c>
      <c r="PPF6" s="108" t="s">
        <v>3</v>
      </c>
      <c r="PPG6" s="108" t="s">
        <v>4</v>
      </c>
      <c r="PPH6" s="108" t="s">
        <v>70</v>
      </c>
      <c r="PPI6" s="108" t="s">
        <v>71</v>
      </c>
      <c r="PPJ6" s="108" t="s">
        <v>37</v>
      </c>
      <c r="PPN6" s="109" t="s">
        <v>139</v>
      </c>
      <c r="PPO6" s="109" t="s">
        <v>140</v>
      </c>
      <c r="PQJ6" s="107" t="s">
        <v>61</v>
      </c>
      <c r="PQK6" s="108" t="s">
        <v>2</v>
      </c>
      <c r="PQL6" s="108" t="s">
        <v>3</v>
      </c>
      <c r="PQM6" s="108" t="s">
        <v>4</v>
      </c>
      <c r="PQN6" s="108" t="s">
        <v>70</v>
      </c>
      <c r="PQO6" s="108" t="s">
        <v>71</v>
      </c>
      <c r="PQP6" s="108" t="s">
        <v>37</v>
      </c>
      <c r="PQT6" s="109" t="s">
        <v>139</v>
      </c>
      <c r="PQU6" s="109" t="s">
        <v>140</v>
      </c>
      <c r="PRP6" s="107" t="s">
        <v>61</v>
      </c>
      <c r="PRQ6" s="108" t="s">
        <v>2</v>
      </c>
      <c r="PRR6" s="108" t="s">
        <v>3</v>
      </c>
      <c r="PRS6" s="108" t="s">
        <v>4</v>
      </c>
      <c r="PRT6" s="108" t="s">
        <v>70</v>
      </c>
      <c r="PRU6" s="108" t="s">
        <v>71</v>
      </c>
      <c r="PRV6" s="108" t="s">
        <v>37</v>
      </c>
      <c r="PRZ6" s="109" t="s">
        <v>139</v>
      </c>
      <c r="PSA6" s="109" t="s">
        <v>140</v>
      </c>
      <c r="PSV6" s="107" t="s">
        <v>61</v>
      </c>
      <c r="PSW6" s="108" t="s">
        <v>2</v>
      </c>
      <c r="PSX6" s="108" t="s">
        <v>3</v>
      </c>
      <c r="PSY6" s="108" t="s">
        <v>4</v>
      </c>
      <c r="PSZ6" s="108" t="s">
        <v>70</v>
      </c>
      <c r="PTA6" s="108" t="s">
        <v>71</v>
      </c>
      <c r="PTB6" s="108" t="s">
        <v>37</v>
      </c>
      <c r="PTF6" s="109" t="s">
        <v>139</v>
      </c>
      <c r="PTG6" s="109" t="s">
        <v>140</v>
      </c>
      <c r="PUB6" s="107" t="s">
        <v>61</v>
      </c>
      <c r="PUC6" s="108" t="s">
        <v>2</v>
      </c>
      <c r="PUD6" s="108" t="s">
        <v>3</v>
      </c>
      <c r="PUE6" s="108" t="s">
        <v>4</v>
      </c>
      <c r="PUF6" s="108" t="s">
        <v>70</v>
      </c>
      <c r="PUG6" s="108" t="s">
        <v>71</v>
      </c>
      <c r="PUH6" s="108" t="s">
        <v>37</v>
      </c>
      <c r="PUL6" s="109" t="s">
        <v>139</v>
      </c>
      <c r="PUM6" s="109" t="s">
        <v>140</v>
      </c>
      <c r="PVH6" s="107" t="s">
        <v>61</v>
      </c>
      <c r="PVI6" s="108" t="s">
        <v>2</v>
      </c>
      <c r="PVJ6" s="108" t="s">
        <v>3</v>
      </c>
      <c r="PVK6" s="108" t="s">
        <v>4</v>
      </c>
      <c r="PVL6" s="108" t="s">
        <v>70</v>
      </c>
      <c r="PVM6" s="108" t="s">
        <v>71</v>
      </c>
      <c r="PVN6" s="108" t="s">
        <v>37</v>
      </c>
      <c r="PVR6" s="109" t="s">
        <v>139</v>
      </c>
      <c r="PVS6" s="109" t="s">
        <v>140</v>
      </c>
      <c r="PWN6" s="107" t="s">
        <v>61</v>
      </c>
      <c r="PWO6" s="108" t="s">
        <v>2</v>
      </c>
      <c r="PWP6" s="108" t="s">
        <v>3</v>
      </c>
      <c r="PWQ6" s="108" t="s">
        <v>4</v>
      </c>
      <c r="PWR6" s="108" t="s">
        <v>70</v>
      </c>
      <c r="PWS6" s="108" t="s">
        <v>71</v>
      </c>
      <c r="PWT6" s="108" t="s">
        <v>37</v>
      </c>
      <c r="PWX6" s="109" t="s">
        <v>139</v>
      </c>
      <c r="PWY6" s="109" t="s">
        <v>140</v>
      </c>
      <c r="PXT6" s="107" t="s">
        <v>61</v>
      </c>
      <c r="PXU6" s="108" t="s">
        <v>2</v>
      </c>
      <c r="PXV6" s="108" t="s">
        <v>3</v>
      </c>
      <c r="PXW6" s="108" t="s">
        <v>4</v>
      </c>
      <c r="PXX6" s="108" t="s">
        <v>70</v>
      </c>
      <c r="PXY6" s="108" t="s">
        <v>71</v>
      </c>
      <c r="PXZ6" s="108" t="s">
        <v>37</v>
      </c>
      <c r="PYD6" s="109" t="s">
        <v>139</v>
      </c>
      <c r="PYE6" s="109" t="s">
        <v>140</v>
      </c>
      <c r="PYZ6" s="107" t="s">
        <v>61</v>
      </c>
      <c r="PZA6" s="108" t="s">
        <v>2</v>
      </c>
      <c r="PZB6" s="108" t="s">
        <v>3</v>
      </c>
      <c r="PZC6" s="108" t="s">
        <v>4</v>
      </c>
      <c r="PZD6" s="108" t="s">
        <v>70</v>
      </c>
      <c r="PZE6" s="108" t="s">
        <v>71</v>
      </c>
      <c r="PZF6" s="108" t="s">
        <v>37</v>
      </c>
      <c r="PZJ6" s="109" t="s">
        <v>139</v>
      </c>
      <c r="PZK6" s="109" t="s">
        <v>140</v>
      </c>
      <c r="QAF6" s="107" t="s">
        <v>61</v>
      </c>
      <c r="QAG6" s="108" t="s">
        <v>2</v>
      </c>
      <c r="QAH6" s="108" t="s">
        <v>3</v>
      </c>
      <c r="QAI6" s="108" t="s">
        <v>4</v>
      </c>
      <c r="QAJ6" s="108" t="s">
        <v>70</v>
      </c>
      <c r="QAK6" s="108" t="s">
        <v>71</v>
      </c>
      <c r="QAL6" s="108" t="s">
        <v>37</v>
      </c>
      <c r="QAP6" s="109" t="s">
        <v>139</v>
      </c>
      <c r="QAQ6" s="109" t="s">
        <v>140</v>
      </c>
      <c r="QBL6" s="107" t="s">
        <v>61</v>
      </c>
      <c r="QBM6" s="108" t="s">
        <v>2</v>
      </c>
      <c r="QBN6" s="108" t="s">
        <v>3</v>
      </c>
      <c r="QBO6" s="108" t="s">
        <v>4</v>
      </c>
      <c r="QBP6" s="108" t="s">
        <v>70</v>
      </c>
      <c r="QBQ6" s="108" t="s">
        <v>71</v>
      </c>
      <c r="QBR6" s="108" t="s">
        <v>37</v>
      </c>
      <c r="QBV6" s="109" t="s">
        <v>139</v>
      </c>
      <c r="QBW6" s="109" t="s">
        <v>140</v>
      </c>
      <c r="QCR6" s="107" t="s">
        <v>61</v>
      </c>
      <c r="QCS6" s="108" t="s">
        <v>2</v>
      </c>
      <c r="QCT6" s="108" t="s">
        <v>3</v>
      </c>
      <c r="QCU6" s="108" t="s">
        <v>4</v>
      </c>
      <c r="QCV6" s="108" t="s">
        <v>70</v>
      </c>
      <c r="QCW6" s="108" t="s">
        <v>71</v>
      </c>
      <c r="QCX6" s="108" t="s">
        <v>37</v>
      </c>
      <c r="QDB6" s="109" t="s">
        <v>139</v>
      </c>
      <c r="QDC6" s="109" t="s">
        <v>140</v>
      </c>
      <c r="QDX6" s="107" t="s">
        <v>61</v>
      </c>
      <c r="QDY6" s="108" t="s">
        <v>2</v>
      </c>
      <c r="QDZ6" s="108" t="s">
        <v>3</v>
      </c>
      <c r="QEA6" s="108" t="s">
        <v>4</v>
      </c>
      <c r="QEB6" s="108" t="s">
        <v>70</v>
      </c>
      <c r="QEC6" s="108" t="s">
        <v>71</v>
      </c>
      <c r="QED6" s="108" t="s">
        <v>37</v>
      </c>
      <c r="QEH6" s="109" t="s">
        <v>139</v>
      </c>
      <c r="QEI6" s="109" t="s">
        <v>140</v>
      </c>
      <c r="QFD6" s="107" t="s">
        <v>61</v>
      </c>
      <c r="QFE6" s="108" t="s">
        <v>2</v>
      </c>
      <c r="QFF6" s="108" t="s">
        <v>3</v>
      </c>
      <c r="QFG6" s="108" t="s">
        <v>4</v>
      </c>
      <c r="QFH6" s="108" t="s">
        <v>70</v>
      </c>
      <c r="QFI6" s="108" t="s">
        <v>71</v>
      </c>
      <c r="QFJ6" s="108" t="s">
        <v>37</v>
      </c>
      <c r="QFN6" s="109" t="s">
        <v>139</v>
      </c>
      <c r="QFO6" s="109" t="s">
        <v>140</v>
      </c>
      <c r="QGJ6" s="107" t="s">
        <v>61</v>
      </c>
      <c r="QGK6" s="108" t="s">
        <v>2</v>
      </c>
      <c r="QGL6" s="108" t="s">
        <v>3</v>
      </c>
      <c r="QGM6" s="108" t="s">
        <v>4</v>
      </c>
      <c r="QGN6" s="108" t="s">
        <v>70</v>
      </c>
      <c r="QGO6" s="108" t="s">
        <v>71</v>
      </c>
      <c r="QGP6" s="108" t="s">
        <v>37</v>
      </c>
      <c r="QGT6" s="109" t="s">
        <v>139</v>
      </c>
      <c r="QGU6" s="109" t="s">
        <v>140</v>
      </c>
      <c r="QHP6" s="107" t="s">
        <v>61</v>
      </c>
      <c r="QHQ6" s="108" t="s">
        <v>2</v>
      </c>
      <c r="QHR6" s="108" t="s">
        <v>3</v>
      </c>
      <c r="QHS6" s="108" t="s">
        <v>4</v>
      </c>
      <c r="QHT6" s="108" t="s">
        <v>70</v>
      </c>
      <c r="QHU6" s="108" t="s">
        <v>71</v>
      </c>
      <c r="QHV6" s="108" t="s">
        <v>37</v>
      </c>
      <c r="QHZ6" s="109" t="s">
        <v>139</v>
      </c>
      <c r="QIA6" s="109" t="s">
        <v>140</v>
      </c>
      <c r="QIV6" s="107" t="s">
        <v>61</v>
      </c>
      <c r="QIW6" s="108" t="s">
        <v>2</v>
      </c>
      <c r="QIX6" s="108" t="s">
        <v>3</v>
      </c>
      <c r="QIY6" s="108" t="s">
        <v>4</v>
      </c>
      <c r="QIZ6" s="108" t="s">
        <v>70</v>
      </c>
      <c r="QJA6" s="108" t="s">
        <v>71</v>
      </c>
      <c r="QJB6" s="108" t="s">
        <v>37</v>
      </c>
      <c r="QJF6" s="109" t="s">
        <v>139</v>
      </c>
      <c r="QJG6" s="109" t="s">
        <v>140</v>
      </c>
      <c r="QKB6" s="107" t="s">
        <v>61</v>
      </c>
      <c r="QKC6" s="108" t="s">
        <v>2</v>
      </c>
      <c r="QKD6" s="108" t="s">
        <v>3</v>
      </c>
      <c r="QKE6" s="108" t="s">
        <v>4</v>
      </c>
      <c r="QKF6" s="108" t="s">
        <v>70</v>
      </c>
      <c r="QKG6" s="108" t="s">
        <v>71</v>
      </c>
      <c r="QKH6" s="108" t="s">
        <v>37</v>
      </c>
      <c r="QKL6" s="109" t="s">
        <v>139</v>
      </c>
      <c r="QKM6" s="109" t="s">
        <v>140</v>
      </c>
      <c r="QLH6" s="107" t="s">
        <v>61</v>
      </c>
      <c r="QLI6" s="108" t="s">
        <v>2</v>
      </c>
      <c r="QLJ6" s="108" t="s">
        <v>3</v>
      </c>
      <c r="QLK6" s="108" t="s">
        <v>4</v>
      </c>
      <c r="QLL6" s="108" t="s">
        <v>70</v>
      </c>
      <c r="QLM6" s="108" t="s">
        <v>71</v>
      </c>
      <c r="QLN6" s="108" t="s">
        <v>37</v>
      </c>
      <c r="QLR6" s="109" t="s">
        <v>139</v>
      </c>
      <c r="QLS6" s="109" t="s">
        <v>140</v>
      </c>
      <c r="QMN6" s="107" t="s">
        <v>61</v>
      </c>
      <c r="QMO6" s="108" t="s">
        <v>2</v>
      </c>
      <c r="QMP6" s="108" t="s">
        <v>3</v>
      </c>
      <c r="QMQ6" s="108" t="s">
        <v>4</v>
      </c>
      <c r="QMR6" s="108" t="s">
        <v>70</v>
      </c>
      <c r="QMS6" s="108" t="s">
        <v>71</v>
      </c>
      <c r="QMT6" s="108" t="s">
        <v>37</v>
      </c>
      <c r="QMX6" s="109" t="s">
        <v>139</v>
      </c>
      <c r="QMY6" s="109" t="s">
        <v>140</v>
      </c>
      <c r="QNT6" s="107" t="s">
        <v>61</v>
      </c>
      <c r="QNU6" s="108" t="s">
        <v>2</v>
      </c>
      <c r="QNV6" s="108" t="s">
        <v>3</v>
      </c>
      <c r="QNW6" s="108" t="s">
        <v>4</v>
      </c>
      <c r="QNX6" s="108" t="s">
        <v>70</v>
      </c>
      <c r="QNY6" s="108" t="s">
        <v>71</v>
      </c>
      <c r="QNZ6" s="108" t="s">
        <v>37</v>
      </c>
      <c r="QOD6" s="109" t="s">
        <v>139</v>
      </c>
      <c r="QOE6" s="109" t="s">
        <v>140</v>
      </c>
      <c r="QOZ6" s="107" t="s">
        <v>61</v>
      </c>
      <c r="QPA6" s="108" t="s">
        <v>2</v>
      </c>
      <c r="QPB6" s="108" t="s">
        <v>3</v>
      </c>
      <c r="QPC6" s="108" t="s">
        <v>4</v>
      </c>
      <c r="QPD6" s="108" t="s">
        <v>70</v>
      </c>
      <c r="QPE6" s="108" t="s">
        <v>71</v>
      </c>
      <c r="QPF6" s="108" t="s">
        <v>37</v>
      </c>
      <c r="QPJ6" s="109" t="s">
        <v>139</v>
      </c>
      <c r="QPK6" s="109" t="s">
        <v>140</v>
      </c>
      <c r="QQF6" s="107" t="s">
        <v>61</v>
      </c>
      <c r="QQG6" s="108" t="s">
        <v>2</v>
      </c>
      <c r="QQH6" s="108" t="s">
        <v>3</v>
      </c>
      <c r="QQI6" s="108" t="s">
        <v>4</v>
      </c>
      <c r="QQJ6" s="108" t="s">
        <v>70</v>
      </c>
      <c r="QQK6" s="108" t="s">
        <v>71</v>
      </c>
      <c r="QQL6" s="108" t="s">
        <v>37</v>
      </c>
      <c r="QQP6" s="109" t="s">
        <v>139</v>
      </c>
      <c r="QQQ6" s="109" t="s">
        <v>140</v>
      </c>
      <c r="QRL6" s="107" t="s">
        <v>61</v>
      </c>
      <c r="QRM6" s="108" t="s">
        <v>2</v>
      </c>
      <c r="QRN6" s="108" t="s">
        <v>3</v>
      </c>
      <c r="QRO6" s="108" t="s">
        <v>4</v>
      </c>
      <c r="QRP6" s="108" t="s">
        <v>70</v>
      </c>
      <c r="QRQ6" s="108" t="s">
        <v>71</v>
      </c>
      <c r="QRR6" s="108" t="s">
        <v>37</v>
      </c>
      <c r="QRV6" s="109" t="s">
        <v>139</v>
      </c>
      <c r="QRW6" s="109" t="s">
        <v>140</v>
      </c>
      <c r="QSR6" s="107" t="s">
        <v>61</v>
      </c>
      <c r="QSS6" s="108" t="s">
        <v>2</v>
      </c>
      <c r="QST6" s="108" t="s">
        <v>3</v>
      </c>
      <c r="QSU6" s="108" t="s">
        <v>4</v>
      </c>
      <c r="QSV6" s="108" t="s">
        <v>70</v>
      </c>
      <c r="QSW6" s="108" t="s">
        <v>71</v>
      </c>
      <c r="QSX6" s="108" t="s">
        <v>37</v>
      </c>
      <c r="QTB6" s="109" t="s">
        <v>139</v>
      </c>
      <c r="QTC6" s="109" t="s">
        <v>140</v>
      </c>
      <c r="QTX6" s="107" t="s">
        <v>61</v>
      </c>
      <c r="QTY6" s="108" t="s">
        <v>2</v>
      </c>
      <c r="QTZ6" s="108" t="s">
        <v>3</v>
      </c>
      <c r="QUA6" s="108" t="s">
        <v>4</v>
      </c>
      <c r="QUB6" s="108" t="s">
        <v>70</v>
      </c>
      <c r="QUC6" s="108" t="s">
        <v>71</v>
      </c>
      <c r="QUD6" s="108" t="s">
        <v>37</v>
      </c>
      <c r="QUH6" s="109" t="s">
        <v>139</v>
      </c>
      <c r="QUI6" s="109" t="s">
        <v>140</v>
      </c>
      <c r="QVD6" s="107" t="s">
        <v>61</v>
      </c>
      <c r="QVE6" s="108" t="s">
        <v>2</v>
      </c>
      <c r="QVF6" s="108" t="s">
        <v>3</v>
      </c>
      <c r="QVG6" s="108" t="s">
        <v>4</v>
      </c>
      <c r="QVH6" s="108" t="s">
        <v>70</v>
      </c>
      <c r="QVI6" s="108" t="s">
        <v>71</v>
      </c>
      <c r="QVJ6" s="108" t="s">
        <v>37</v>
      </c>
      <c r="QVN6" s="109" t="s">
        <v>139</v>
      </c>
      <c r="QVO6" s="109" t="s">
        <v>140</v>
      </c>
      <c r="QWJ6" s="107" t="s">
        <v>61</v>
      </c>
      <c r="QWK6" s="108" t="s">
        <v>2</v>
      </c>
      <c r="QWL6" s="108" t="s">
        <v>3</v>
      </c>
      <c r="QWM6" s="108" t="s">
        <v>4</v>
      </c>
      <c r="QWN6" s="108" t="s">
        <v>70</v>
      </c>
      <c r="QWO6" s="108" t="s">
        <v>71</v>
      </c>
      <c r="QWP6" s="108" t="s">
        <v>37</v>
      </c>
      <c r="QWT6" s="109" t="s">
        <v>139</v>
      </c>
      <c r="QWU6" s="109" t="s">
        <v>140</v>
      </c>
      <c r="QXP6" s="107" t="s">
        <v>61</v>
      </c>
      <c r="QXQ6" s="108" t="s">
        <v>2</v>
      </c>
      <c r="QXR6" s="108" t="s">
        <v>3</v>
      </c>
      <c r="QXS6" s="108" t="s">
        <v>4</v>
      </c>
      <c r="QXT6" s="108" t="s">
        <v>70</v>
      </c>
      <c r="QXU6" s="108" t="s">
        <v>71</v>
      </c>
      <c r="QXV6" s="108" t="s">
        <v>37</v>
      </c>
      <c r="QXZ6" s="109" t="s">
        <v>139</v>
      </c>
      <c r="QYA6" s="109" t="s">
        <v>140</v>
      </c>
      <c r="QYV6" s="107" t="s">
        <v>61</v>
      </c>
      <c r="QYW6" s="108" t="s">
        <v>2</v>
      </c>
      <c r="QYX6" s="108" t="s">
        <v>3</v>
      </c>
      <c r="QYY6" s="108" t="s">
        <v>4</v>
      </c>
      <c r="QYZ6" s="108" t="s">
        <v>70</v>
      </c>
      <c r="QZA6" s="108" t="s">
        <v>71</v>
      </c>
      <c r="QZB6" s="108" t="s">
        <v>37</v>
      </c>
      <c r="QZF6" s="109" t="s">
        <v>139</v>
      </c>
      <c r="QZG6" s="109" t="s">
        <v>140</v>
      </c>
      <c r="RAB6" s="107" t="s">
        <v>61</v>
      </c>
      <c r="RAC6" s="108" t="s">
        <v>2</v>
      </c>
      <c r="RAD6" s="108" t="s">
        <v>3</v>
      </c>
      <c r="RAE6" s="108" t="s">
        <v>4</v>
      </c>
      <c r="RAF6" s="108" t="s">
        <v>70</v>
      </c>
      <c r="RAG6" s="108" t="s">
        <v>71</v>
      </c>
      <c r="RAH6" s="108" t="s">
        <v>37</v>
      </c>
      <c r="RAL6" s="109" t="s">
        <v>139</v>
      </c>
      <c r="RAM6" s="109" t="s">
        <v>140</v>
      </c>
      <c r="RBH6" s="107" t="s">
        <v>61</v>
      </c>
      <c r="RBI6" s="108" t="s">
        <v>2</v>
      </c>
      <c r="RBJ6" s="108" t="s">
        <v>3</v>
      </c>
      <c r="RBK6" s="108" t="s">
        <v>4</v>
      </c>
      <c r="RBL6" s="108" t="s">
        <v>70</v>
      </c>
      <c r="RBM6" s="108" t="s">
        <v>71</v>
      </c>
      <c r="RBN6" s="108" t="s">
        <v>37</v>
      </c>
      <c r="RBR6" s="109" t="s">
        <v>139</v>
      </c>
      <c r="RBS6" s="109" t="s">
        <v>140</v>
      </c>
      <c r="RCN6" s="107" t="s">
        <v>61</v>
      </c>
      <c r="RCO6" s="108" t="s">
        <v>2</v>
      </c>
      <c r="RCP6" s="108" t="s">
        <v>3</v>
      </c>
      <c r="RCQ6" s="108" t="s">
        <v>4</v>
      </c>
      <c r="RCR6" s="108" t="s">
        <v>70</v>
      </c>
      <c r="RCS6" s="108" t="s">
        <v>71</v>
      </c>
      <c r="RCT6" s="108" t="s">
        <v>37</v>
      </c>
      <c r="RCX6" s="109" t="s">
        <v>139</v>
      </c>
      <c r="RCY6" s="109" t="s">
        <v>140</v>
      </c>
      <c r="RDT6" s="107" t="s">
        <v>61</v>
      </c>
      <c r="RDU6" s="108" t="s">
        <v>2</v>
      </c>
      <c r="RDV6" s="108" t="s">
        <v>3</v>
      </c>
      <c r="RDW6" s="108" t="s">
        <v>4</v>
      </c>
      <c r="RDX6" s="108" t="s">
        <v>70</v>
      </c>
      <c r="RDY6" s="108" t="s">
        <v>71</v>
      </c>
      <c r="RDZ6" s="108" t="s">
        <v>37</v>
      </c>
      <c r="RED6" s="109" t="s">
        <v>139</v>
      </c>
      <c r="REE6" s="109" t="s">
        <v>140</v>
      </c>
      <c r="REZ6" s="107" t="s">
        <v>61</v>
      </c>
      <c r="RFA6" s="108" t="s">
        <v>2</v>
      </c>
      <c r="RFB6" s="108" t="s">
        <v>3</v>
      </c>
      <c r="RFC6" s="108" t="s">
        <v>4</v>
      </c>
      <c r="RFD6" s="108" t="s">
        <v>70</v>
      </c>
      <c r="RFE6" s="108" t="s">
        <v>71</v>
      </c>
      <c r="RFF6" s="108" t="s">
        <v>37</v>
      </c>
      <c r="RFJ6" s="109" t="s">
        <v>139</v>
      </c>
      <c r="RFK6" s="109" t="s">
        <v>140</v>
      </c>
      <c r="RGF6" s="107" t="s">
        <v>61</v>
      </c>
      <c r="RGG6" s="108" t="s">
        <v>2</v>
      </c>
      <c r="RGH6" s="108" t="s">
        <v>3</v>
      </c>
      <c r="RGI6" s="108" t="s">
        <v>4</v>
      </c>
      <c r="RGJ6" s="108" t="s">
        <v>70</v>
      </c>
      <c r="RGK6" s="108" t="s">
        <v>71</v>
      </c>
      <c r="RGL6" s="108" t="s">
        <v>37</v>
      </c>
      <c r="RGP6" s="109" t="s">
        <v>139</v>
      </c>
      <c r="RGQ6" s="109" t="s">
        <v>140</v>
      </c>
      <c r="RHL6" s="107" t="s">
        <v>61</v>
      </c>
      <c r="RHM6" s="108" t="s">
        <v>2</v>
      </c>
      <c r="RHN6" s="108" t="s">
        <v>3</v>
      </c>
      <c r="RHO6" s="108" t="s">
        <v>4</v>
      </c>
      <c r="RHP6" s="108" t="s">
        <v>70</v>
      </c>
      <c r="RHQ6" s="108" t="s">
        <v>71</v>
      </c>
      <c r="RHR6" s="108" t="s">
        <v>37</v>
      </c>
      <c r="RHV6" s="109" t="s">
        <v>139</v>
      </c>
      <c r="RHW6" s="109" t="s">
        <v>140</v>
      </c>
      <c r="RIR6" s="107" t="s">
        <v>61</v>
      </c>
      <c r="RIS6" s="108" t="s">
        <v>2</v>
      </c>
      <c r="RIT6" s="108" t="s">
        <v>3</v>
      </c>
      <c r="RIU6" s="108" t="s">
        <v>4</v>
      </c>
      <c r="RIV6" s="108" t="s">
        <v>70</v>
      </c>
      <c r="RIW6" s="108" t="s">
        <v>71</v>
      </c>
      <c r="RIX6" s="108" t="s">
        <v>37</v>
      </c>
      <c r="RJB6" s="109" t="s">
        <v>139</v>
      </c>
      <c r="RJC6" s="109" t="s">
        <v>140</v>
      </c>
      <c r="RJX6" s="107" t="s">
        <v>61</v>
      </c>
      <c r="RJY6" s="108" t="s">
        <v>2</v>
      </c>
      <c r="RJZ6" s="108" t="s">
        <v>3</v>
      </c>
      <c r="RKA6" s="108" t="s">
        <v>4</v>
      </c>
      <c r="RKB6" s="108" t="s">
        <v>70</v>
      </c>
      <c r="RKC6" s="108" t="s">
        <v>71</v>
      </c>
      <c r="RKD6" s="108" t="s">
        <v>37</v>
      </c>
      <c r="RKH6" s="109" t="s">
        <v>139</v>
      </c>
      <c r="RKI6" s="109" t="s">
        <v>140</v>
      </c>
      <c r="RLD6" s="107" t="s">
        <v>61</v>
      </c>
      <c r="RLE6" s="108" t="s">
        <v>2</v>
      </c>
      <c r="RLF6" s="108" t="s">
        <v>3</v>
      </c>
      <c r="RLG6" s="108" t="s">
        <v>4</v>
      </c>
      <c r="RLH6" s="108" t="s">
        <v>70</v>
      </c>
      <c r="RLI6" s="108" t="s">
        <v>71</v>
      </c>
      <c r="RLJ6" s="108" t="s">
        <v>37</v>
      </c>
      <c r="RLN6" s="109" t="s">
        <v>139</v>
      </c>
      <c r="RLO6" s="109" t="s">
        <v>140</v>
      </c>
      <c r="RMJ6" s="107" t="s">
        <v>61</v>
      </c>
      <c r="RMK6" s="108" t="s">
        <v>2</v>
      </c>
      <c r="RML6" s="108" t="s">
        <v>3</v>
      </c>
      <c r="RMM6" s="108" t="s">
        <v>4</v>
      </c>
      <c r="RMN6" s="108" t="s">
        <v>70</v>
      </c>
      <c r="RMO6" s="108" t="s">
        <v>71</v>
      </c>
      <c r="RMP6" s="108" t="s">
        <v>37</v>
      </c>
      <c r="RMT6" s="109" t="s">
        <v>139</v>
      </c>
      <c r="RMU6" s="109" t="s">
        <v>140</v>
      </c>
      <c r="RNP6" s="107" t="s">
        <v>61</v>
      </c>
      <c r="RNQ6" s="108" t="s">
        <v>2</v>
      </c>
      <c r="RNR6" s="108" t="s">
        <v>3</v>
      </c>
      <c r="RNS6" s="108" t="s">
        <v>4</v>
      </c>
      <c r="RNT6" s="108" t="s">
        <v>70</v>
      </c>
      <c r="RNU6" s="108" t="s">
        <v>71</v>
      </c>
      <c r="RNV6" s="108" t="s">
        <v>37</v>
      </c>
      <c r="RNZ6" s="109" t="s">
        <v>139</v>
      </c>
      <c r="ROA6" s="109" t="s">
        <v>140</v>
      </c>
      <c r="ROV6" s="107" t="s">
        <v>61</v>
      </c>
      <c r="ROW6" s="108" t="s">
        <v>2</v>
      </c>
      <c r="ROX6" s="108" t="s">
        <v>3</v>
      </c>
      <c r="ROY6" s="108" t="s">
        <v>4</v>
      </c>
      <c r="ROZ6" s="108" t="s">
        <v>70</v>
      </c>
      <c r="RPA6" s="108" t="s">
        <v>71</v>
      </c>
      <c r="RPB6" s="108" t="s">
        <v>37</v>
      </c>
      <c r="RPF6" s="109" t="s">
        <v>139</v>
      </c>
      <c r="RPG6" s="109" t="s">
        <v>140</v>
      </c>
      <c r="RQB6" s="107" t="s">
        <v>61</v>
      </c>
      <c r="RQC6" s="108" t="s">
        <v>2</v>
      </c>
      <c r="RQD6" s="108" t="s">
        <v>3</v>
      </c>
      <c r="RQE6" s="108" t="s">
        <v>4</v>
      </c>
      <c r="RQF6" s="108" t="s">
        <v>70</v>
      </c>
      <c r="RQG6" s="108" t="s">
        <v>71</v>
      </c>
      <c r="RQH6" s="108" t="s">
        <v>37</v>
      </c>
      <c r="RQL6" s="109" t="s">
        <v>139</v>
      </c>
      <c r="RQM6" s="109" t="s">
        <v>140</v>
      </c>
      <c r="RRH6" s="107" t="s">
        <v>61</v>
      </c>
      <c r="RRI6" s="108" t="s">
        <v>2</v>
      </c>
      <c r="RRJ6" s="108" t="s">
        <v>3</v>
      </c>
      <c r="RRK6" s="108" t="s">
        <v>4</v>
      </c>
      <c r="RRL6" s="108" t="s">
        <v>70</v>
      </c>
      <c r="RRM6" s="108" t="s">
        <v>71</v>
      </c>
      <c r="RRN6" s="108" t="s">
        <v>37</v>
      </c>
      <c r="RRR6" s="109" t="s">
        <v>139</v>
      </c>
      <c r="RRS6" s="109" t="s">
        <v>140</v>
      </c>
      <c r="RSN6" s="107" t="s">
        <v>61</v>
      </c>
      <c r="RSO6" s="108" t="s">
        <v>2</v>
      </c>
      <c r="RSP6" s="108" t="s">
        <v>3</v>
      </c>
      <c r="RSQ6" s="108" t="s">
        <v>4</v>
      </c>
      <c r="RSR6" s="108" t="s">
        <v>70</v>
      </c>
      <c r="RSS6" s="108" t="s">
        <v>71</v>
      </c>
      <c r="RST6" s="108" t="s">
        <v>37</v>
      </c>
      <c r="RSX6" s="109" t="s">
        <v>139</v>
      </c>
      <c r="RSY6" s="109" t="s">
        <v>140</v>
      </c>
      <c r="RTT6" s="107" t="s">
        <v>61</v>
      </c>
      <c r="RTU6" s="108" t="s">
        <v>2</v>
      </c>
      <c r="RTV6" s="108" t="s">
        <v>3</v>
      </c>
      <c r="RTW6" s="108" t="s">
        <v>4</v>
      </c>
      <c r="RTX6" s="108" t="s">
        <v>70</v>
      </c>
      <c r="RTY6" s="108" t="s">
        <v>71</v>
      </c>
      <c r="RTZ6" s="108" t="s">
        <v>37</v>
      </c>
      <c r="RUD6" s="109" t="s">
        <v>139</v>
      </c>
      <c r="RUE6" s="109" t="s">
        <v>140</v>
      </c>
      <c r="RUZ6" s="107" t="s">
        <v>61</v>
      </c>
      <c r="RVA6" s="108" t="s">
        <v>2</v>
      </c>
      <c r="RVB6" s="108" t="s">
        <v>3</v>
      </c>
      <c r="RVC6" s="108" t="s">
        <v>4</v>
      </c>
      <c r="RVD6" s="108" t="s">
        <v>70</v>
      </c>
      <c r="RVE6" s="108" t="s">
        <v>71</v>
      </c>
      <c r="RVF6" s="108" t="s">
        <v>37</v>
      </c>
      <c r="RVJ6" s="109" t="s">
        <v>139</v>
      </c>
      <c r="RVK6" s="109" t="s">
        <v>140</v>
      </c>
      <c r="RWF6" s="107" t="s">
        <v>61</v>
      </c>
      <c r="RWG6" s="108" t="s">
        <v>2</v>
      </c>
      <c r="RWH6" s="108" t="s">
        <v>3</v>
      </c>
      <c r="RWI6" s="108" t="s">
        <v>4</v>
      </c>
      <c r="RWJ6" s="108" t="s">
        <v>70</v>
      </c>
      <c r="RWK6" s="108" t="s">
        <v>71</v>
      </c>
      <c r="RWL6" s="108" t="s">
        <v>37</v>
      </c>
      <c r="RWP6" s="109" t="s">
        <v>139</v>
      </c>
      <c r="RWQ6" s="109" t="s">
        <v>140</v>
      </c>
      <c r="RXL6" s="107" t="s">
        <v>61</v>
      </c>
      <c r="RXM6" s="108" t="s">
        <v>2</v>
      </c>
      <c r="RXN6" s="108" t="s">
        <v>3</v>
      </c>
      <c r="RXO6" s="108" t="s">
        <v>4</v>
      </c>
      <c r="RXP6" s="108" t="s">
        <v>70</v>
      </c>
      <c r="RXQ6" s="108" t="s">
        <v>71</v>
      </c>
      <c r="RXR6" s="108" t="s">
        <v>37</v>
      </c>
      <c r="RXV6" s="109" t="s">
        <v>139</v>
      </c>
      <c r="RXW6" s="109" t="s">
        <v>140</v>
      </c>
      <c r="RYR6" s="107" t="s">
        <v>61</v>
      </c>
      <c r="RYS6" s="108" t="s">
        <v>2</v>
      </c>
      <c r="RYT6" s="108" t="s">
        <v>3</v>
      </c>
      <c r="RYU6" s="108" t="s">
        <v>4</v>
      </c>
      <c r="RYV6" s="108" t="s">
        <v>70</v>
      </c>
      <c r="RYW6" s="108" t="s">
        <v>71</v>
      </c>
      <c r="RYX6" s="108" t="s">
        <v>37</v>
      </c>
      <c r="RZB6" s="109" t="s">
        <v>139</v>
      </c>
      <c r="RZC6" s="109" t="s">
        <v>140</v>
      </c>
      <c r="RZX6" s="107" t="s">
        <v>61</v>
      </c>
      <c r="RZY6" s="108" t="s">
        <v>2</v>
      </c>
      <c r="RZZ6" s="108" t="s">
        <v>3</v>
      </c>
      <c r="SAA6" s="108" t="s">
        <v>4</v>
      </c>
      <c r="SAB6" s="108" t="s">
        <v>70</v>
      </c>
      <c r="SAC6" s="108" t="s">
        <v>71</v>
      </c>
      <c r="SAD6" s="108" t="s">
        <v>37</v>
      </c>
      <c r="SAH6" s="109" t="s">
        <v>139</v>
      </c>
      <c r="SAI6" s="109" t="s">
        <v>140</v>
      </c>
      <c r="SBD6" s="107" t="s">
        <v>61</v>
      </c>
      <c r="SBE6" s="108" t="s">
        <v>2</v>
      </c>
      <c r="SBF6" s="108" t="s">
        <v>3</v>
      </c>
      <c r="SBG6" s="108" t="s">
        <v>4</v>
      </c>
      <c r="SBH6" s="108" t="s">
        <v>70</v>
      </c>
      <c r="SBI6" s="108" t="s">
        <v>71</v>
      </c>
      <c r="SBJ6" s="108" t="s">
        <v>37</v>
      </c>
      <c r="SBN6" s="109" t="s">
        <v>139</v>
      </c>
      <c r="SBO6" s="109" t="s">
        <v>140</v>
      </c>
      <c r="SCJ6" s="107" t="s">
        <v>61</v>
      </c>
      <c r="SCK6" s="108" t="s">
        <v>2</v>
      </c>
      <c r="SCL6" s="108" t="s">
        <v>3</v>
      </c>
      <c r="SCM6" s="108" t="s">
        <v>4</v>
      </c>
      <c r="SCN6" s="108" t="s">
        <v>70</v>
      </c>
      <c r="SCO6" s="108" t="s">
        <v>71</v>
      </c>
      <c r="SCP6" s="108" t="s">
        <v>37</v>
      </c>
      <c r="SCT6" s="109" t="s">
        <v>139</v>
      </c>
      <c r="SCU6" s="109" t="s">
        <v>140</v>
      </c>
      <c r="SDP6" s="107" t="s">
        <v>61</v>
      </c>
      <c r="SDQ6" s="108" t="s">
        <v>2</v>
      </c>
      <c r="SDR6" s="108" t="s">
        <v>3</v>
      </c>
      <c r="SDS6" s="108" t="s">
        <v>4</v>
      </c>
      <c r="SDT6" s="108" t="s">
        <v>70</v>
      </c>
      <c r="SDU6" s="108" t="s">
        <v>71</v>
      </c>
      <c r="SDV6" s="108" t="s">
        <v>37</v>
      </c>
      <c r="SDZ6" s="109" t="s">
        <v>139</v>
      </c>
      <c r="SEA6" s="109" t="s">
        <v>140</v>
      </c>
      <c r="SEV6" s="107" t="s">
        <v>61</v>
      </c>
      <c r="SEW6" s="108" t="s">
        <v>2</v>
      </c>
      <c r="SEX6" s="108" t="s">
        <v>3</v>
      </c>
      <c r="SEY6" s="108" t="s">
        <v>4</v>
      </c>
      <c r="SEZ6" s="108" t="s">
        <v>70</v>
      </c>
      <c r="SFA6" s="108" t="s">
        <v>71</v>
      </c>
      <c r="SFB6" s="108" t="s">
        <v>37</v>
      </c>
      <c r="SFF6" s="109" t="s">
        <v>139</v>
      </c>
      <c r="SFG6" s="109" t="s">
        <v>140</v>
      </c>
      <c r="SGB6" s="107" t="s">
        <v>61</v>
      </c>
      <c r="SGC6" s="108" t="s">
        <v>2</v>
      </c>
      <c r="SGD6" s="108" t="s">
        <v>3</v>
      </c>
      <c r="SGE6" s="108" t="s">
        <v>4</v>
      </c>
      <c r="SGF6" s="108" t="s">
        <v>70</v>
      </c>
      <c r="SGG6" s="108" t="s">
        <v>71</v>
      </c>
      <c r="SGH6" s="108" t="s">
        <v>37</v>
      </c>
      <c r="SGL6" s="109" t="s">
        <v>139</v>
      </c>
      <c r="SGM6" s="109" t="s">
        <v>140</v>
      </c>
      <c r="SHH6" s="107" t="s">
        <v>61</v>
      </c>
      <c r="SHI6" s="108" t="s">
        <v>2</v>
      </c>
      <c r="SHJ6" s="108" t="s">
        <v>3</v>
      </c>
      <c r="SHK6" s="108" t="s">
        <v>4</v>
      </c>
      <c r="SHL6" s="108" t="s">
        <v>70</v>
      </c>
      <c r="SHM6" s="108" t="s">
        <v>71</v>
      </c>
      <c r="SHN6" s="108" t="s">
        <v>37</v>
      </c>
      <c r="SHR6" s="109" t="s">
        <v>139</v>
      </c>
      <c r="SHS6" s="109" t="s">
        <v>140</v>
      </c>
      <c r="SIN6" s="107" t="s">
        <v>61</v>
      </c>
      <c r="SIO6" s="108" t="s">
        <v>2</v>
      </c>
      <c r="SIP6" s="108" t="s">
        <v>3</v>
      </c>
      <c r="SIQ6" s="108" t="s">
        <v>4</v>
      </c>
      <c r="SIR6" s="108" t="s">
        <v>70</v>
      </c>
      <c r="SIS6" s="108" t="s">
        <v>71</v>
      </c>
      <c r="SIT6" s="108" t="s">
        <v>37</v>
      </c>
      <c r="SIX6" s="109" t="s">
        <v>139</v>
      </c>
      <c r="SIY6" s="109" t="s">
        <v>140</v>
      </c>
      <c r="SJT6" s="107" t="s">
        <v>61</v>
      </c>
      <c r="SJU6" s="108" t="s">
        <v>2</v>
      </c>
      <c r="SJV6" s="108" t="s">
        <v>3</v>
      </c>
      <c r="SJW6" s="108" t="s">
        <v>4</v>
      </c>
      <c r="SJX6" s="108" t="s">
        <v>70</v>
      </c>
      <c r="SJY6" s="108" t="s">
        <v>71</v>
      </c>
      <c r="SJZ6" s="108" t="s">
        <v>37</v>
      </c>
      <c r="SKD6" s="109" t="s">
        <v>139</v>
      </c>
      <c r="SKE6" s="109" t="s">
        <v>140</v>
      </c>
      <c r="SKZ6" s="107" t="s">
        <v>61</v>
      </c>
      <c r="SLA6" s="108" t="s">
        <v>2</v>
      </c>
      <c r="SLB6" s="108" t="s">
        <v>3</v>
      </c>
      <c r="SLC6" s="108" t="s">
        <v>4</v>
      </c>
      <c r="SLD6" s="108" t="s">
        <v>70</v>
      </c>
      <c r="SLE6" s="108" t="s">
        <v>71</v>
      </c>
      <c r="SLF6" s="108" t="s">
        <v>37</v>
      </c>
      <c r="SLJ6" s="109" t="s">
        <v>139</v>
      </c>
      <c r="SLK6" s="109" t="s">
        <v>140</v>
      </c>
      <c r="SMF6" s="107" t="s">
        <v>61</v>
      </c>
      <c r="SMG6" s="108" t="s">
        <v>2</v>
      </c>
      <c r="SMH6" s="108" t="s">
        <v>3</v>
      </c>
      <c r="SMI6" s="108" t="s">
        <v>4</v>
      </c>
      <c r="SMJ6" s="108" t="s">
        <v>70</v>
      </c>
      <c r="SMK6" s="108" t="s">
        <v>71</v>
      </c>
      <c r="SML6" s="108" t="s">
        <v>37</v>
      </c>
      <c r="SMP6" s="109" t="s">
        <v>139</v>
      </c>
      <c r="SMQ6" s="109" t="s">
        <v>140</v>
      </c>
      <c r="SNL6" s="107" t="s">
        <v>61</v>
      </c>
      <c r="SNM6" s="108" t="s">
        <v>2</v>
      </c>
      <c r="SNN6" s="108" t="s">
        <v>3</v>
      </c>
      <c r="SNO6" s="108" t="s">
        <v>4</v>
      </c>
      <c r="SNP6" s="108" t="s">
        <v>70</v>
      </c>
      <c r="SNQ6" s="108" t="s">
        <v>71</v>
      </c>
      <c r="SNR6" s="108" t="s">
        <v>37</v>
      </c>
      <c r="SNV6" s="109" t="s">
        <v>139</v>
      </c>
      <c r="SNW6" s="109" t="s">
        <v>140</v>
      </c>
      <c r="SOR6" s="107" t="s">
        <v>61</v>
      </c>
      <c r="SOS6" s="108" t="s">
        <v>2</v>
      </c>
      <c r="SOT6" s="108" t="s">
        <v>3</v>
      </c>
      <c r="SOU6" s="108" t="s">
        <v>4</v>
      </c>
      <c r="SOV6" s="108" t="s">
        <v>70</v>
      </c>
      <c r="SOW6" s="108" t="s">
        <v>71</v>
      </c>
      <c r="SOX6" s="108" t="s">
        <v>37</v>
      </c>
      <c r="SPB6" s="109" t="s">
        <v>139</v>
      </c>
      <c r="SPC6" s="109" t="s">
        <v>140</v>
      </c>
      <c r="SPX6" s="107" t="s">
        <v>61</v>
      </c>
      <c r="SPY6" s="108" t="s">
        <v>2</v>
      </c>
      <c r="SPZ6" s="108" t="s">
        <v>3</v>
      </c>
      <c r="SQA6" s="108" t="s">
        <v>4</v>
      </c>
      <c r="SQB6" s="108" t="s">
        <v>70</v>
      </c>
      <c r="SQC6" s="108" t="s">
        <v>71</v>
      </c>
      <c r="SQD6" s="108" t="s">
        <v>37</v>
      </c>
      <c r="SQH6" s="109" t="s">
        <v>139</v>
      </c>
      <c r="SQI6" s="109" t="s">
        <v>140</v>
      </c>
      <c r="SRD6" s="107" t="s">
        <v>61</v>
      </c>
      <c r="SRE6" s="108" t="s">
        <v>2</v>
      </c>
      <c r="SRF6" s="108" t="s">
        <v>3</v>
      </c>
      <c r="SRG6" s="108" t="s">
        <v>4</v>
      </c>
      <c r="SRH6" s="108" t="s">
        <v>70</v>
      </c>
      <c r="SRI6" s="108" t="s">
        <v>71</v>
      </c>
      <c r="SRJ6" s="108" t="s">
        <v>37</v>
      </c>
      <c r="SRN6" s="109" t="s">
        <v>139</v>
      </c>
      <c r="SRO6" s="109" t="s">
        <v>140</v>
      </c>
      <c r="SSJ6" s="107" t="s">
        <v>61</v>
      </c>
      <c r="SSK6" s="108" t="s">
        <v>2</v>
      </c>
      <c r="SSL6" s="108" t="s">
        <v>3</v>
      </c>
      <c r="SSM6" s="108" t="s">
        <v>4</v>
      </c>
      <c r="SSN6" s="108" t="s">
        <v>70</v>
      </c>
      <c r="SSO6" s="108" t="s">
        <v>71</v>
      </c>
      <c r="SSP6" s="108" t="s">
        <v>37</v>
      </c>
      <c r="SST6" s="109" t="s">
        <v>139</v>
      </c>
      <c r="SSU6" s="109" t="s">
        <v>140</v>
      </c>
      <c r="STP6" s="107" t="s">
        <v>61</v>
      </c>
      <c r="STQ6" s="108" t="s">
        <v>2</v>
      </c>
      <c r="STR6" s="108" t="s">
        <v>3</v>
      </c>
      <c r="STS6" s="108" t="s">
        <v>4</v>
      </c>
      <c r="STT6" s="108" t="s">
        <v>70</v>
      </c>
      <c r="STU6" s="108" t="s">
        <v>71</v>
      </c>
      <c r="STV6" s="108" t="s">
        <v>37</v>
      </c>
      <c r="STZ6" s="109" t="s">
        <v>139</v>
      </c>
      <c r="SUA6" s="109" t="s">
        <v>140</v>
      </c>
      <c r="SUV6" s="107" t="s">
        <v>61</v>
      </c>
      <c r="SUW6" s="108" t="s">
        <v>2</v>
      </c>
      <c r="SUX6" s="108" t="s">
        <v>3</v>
      </c>
      <c r="SUY6" s="108" t="s">
        <v>4</v>
      </c>
      <c r="SUZ6" s="108" t="s">
        <v>70</v>
      </c>
      <c r="SVA6" s="108" t="s">
        <v>71</v>
      </c>
      <c r="SVB6" s="108" t="s">
        <v>37</v>
      </c>
      <c r="SVF6" s="109" t="s">
        <v>139</v>
      </c>
      <c r="SVG6" s="109" t="s">
        <v>140</v>
      </c>
      <c r="SWB6" s="107" t="s">
        <v>61</v>
      </c>
      <c r="SWC6" s="108" t="s">
        <v>2</v>
      </c>
      <c r="SWD6" s="108" t="s">
        <v>3</v>
      </c>
      <c r="SWE6" s="108" t="s">
        <v>4</v>
      </c>
      <c r="SWF6" s="108" t="s">
        <v>70</v>
      </c>
      <c r="SWG6" s="108" t="s">
        <v>71</v>
      </c>
      <c r="SWH6" s="108" t="s">
        <v>37</v>
      </c>
      <c r="SWL6" s="109" t="s">
        <v>139</v>
      </c>
      <c r="SWM6" s="109" t="s">
        <v>140</v>
      </c>
      <c r="SXH6" s="107" t="s">
        <v>61</v>
      </c>
      <c r="SXI6" s="108" t="s">
        <v>2</v>
      </c>
      <c r="SXJ6" s="108" t="s">
        <v>3</v>
      </c>
      <c r="SXK6" s="108" t="s">
        <v>4</v>
      </c>
      <c r="SXL6" s="108" t="s">
        <v>70</v>
      </c>
      <c r="SXM6" s="108" t="s">
        <v>71</v>
      </c>
      <c r="SXN6" s="108" t="s">
        <v>37</v>
      </c>
      <c r="SXR6" s="109" t="s">
        <v>139</v>
      </c>
      <c r="SXS6" s="109" t="s">
        <v>140</v>
      </c>
      <c r="SYN6" s="107" t="s">
        <v>61</v>
      </c>
      <c r="SYO6" s="108" t="s">
        <v>2</v>
      </c>
      <c r="SYP6" s="108" t="s">
        <v>3</v>
      </c>
      <c r="SYQ6" s="108" t="s">
        <v>4</v>
      </c>
      <c r="SYR6" s="108" t="s">
        <v>70</v>
      </c>
      <c r="SYS6" s="108" t="s">
        <v>71</v>
      </c>
      <c r="SYT6" s="108" t="s">
        <v>37</v>
      </c>
      <c r="SYX6" s="109" t="s">
        <v>139</v>
      </c>
      <c r="SYY6" s="109" t="s">
        <v>140</v>
      </c>
      <c r="SZT6" s="107" t="s">
        <v>61</v>
      </c>
      <c r="SZU6" s="108" t="s">
        <v>2</v>
      </c>
      <c r="SZV6" s="108" t="s">
        <v>3</v>
      </c>
      <c r="SZW6" s="108" t="s">
        <v>4</v>
      </c>
      <c r="SZX6" s="108" t="s">
        <v>70</v>
      </c>
      <c r="SZY6" s="108" t="s">
        <v>71</v>
      </c>
      <c r="SZZ6" s="108" t="s">
        <v>37</v>
      </c>
      <c r="TAD6" s="109" t="s">
        <v>139</v>
      </c>
      <c r="TAE6" s="109" t="s">
        <v>140</v>
      </c>
      <c r="TAZ6" s="107" t="s">
        <v>61</v>
      </c>
      <c r="TBA6" s="108" t="s">
        <v>2</v>
      </c>
      <c r="TBB6" s="108" t="s">
        <v>3</v>
      </c>
      <c r="TBC6" s="108" t="s">
        <v>4</v>
      </c>
      <c r="TBD6" s="108" t="s">
        <v>70</v>
      </c>
      <c r="TBE6" s="108" t="s">
        <v>71</v>
      </c>
      <c r="TBF6" s="108" t="s">
        <v>37</v>
      </c>
      <c r="TBJ6" s="109" t="s">
        <v>139</v>
      </c>
      <c r="TBK6" s="109" t="s">
        <v>140</v>
      </c>
      <c r="TCF6" s="107" t="s">
        <v>61</v>
      </c>
      <c r="TCG6" s="108" t="s">
        <v>2</v>
      </c>
      <c r="TCH6" s="108" t="s">
        <v>3</v>
      </c>
      <c r="TCI6" s="108" t="s">
        <v>4</v>
      </c>
      <c r="TCJ6" s="108" t="s">
        <v>70</v>
      </c>
      <c r="TCK6" s="108" t="s">
        <v>71</v>
      </c>
      <c r="TCL6" s="108" t="s">
        <v>37</v>
      </c>
      <c r="TCP6" s="109" t="s">
        <v>139</v>
      </c>
      <c r="TCQ6" s="109" t="s">
        <v>140</v>
      </c>
      <c r="TDL6" s="107" t="s">
        <v>61</v>
      </c>
      <c r="TDM6" s="108" t="s">
        <v>2</v>
      </c>
      <c r="TDN6" s="108" t="s">
        <v>3</v>
      </c>
      <c r="TDO6" s="108" t="s">
        <v>4</v>
      </c>
      <c r="TDP6" s="108" t="s">
        <v>70</v>
      </c>
      <c r="TDQ6" s="108" t="s">
        <v>71</v>
      </c>
      <c r="TDR6" s="108" t="s">
        <v>37</v>
      </c>
      <c r="TDV6" s="109" t="s">
        <v>139</v>
      </c>
      <c r="TDW6" s="109" t="s">
        <v>140</v>
      </c>
      <c r="TER6" s="107" t="s">
        <v>61</v>
      </c>
      <c r="TES6" s="108" t="s">
        <v>2</v>
      </c>
      <c r="TET6" s="108" t="s">
        <v>3</v>
      </c>
      <c r="TEU6" s="108" t="s">
        <v>4</v>
      </c>
      <c r="TEV6" s="108" t="s">
        <v>70</v>
      </c>
      <c r="TEW6" s="108" t="s">
        <v>71</v>
      </c>
      <c r="TEX6" s="108" t="s">
        <v>37</v>
      </c>
      <c r="TFB6" s="109" t="s">
        <v>139</v>
      </c>
      <c r="TFC6" s="109" t="s">
        <v>140</v>
      </c>
      <c r="TFX6" s="107" t="s">
        <v>61</v>
      </c>
      <c r="TFY6" s="108" t="s">
        <v>2</v>
      </c>
      <c r="TFZ6" s="108" t="s">
        <v>3</v>
      </c>
      <c r="TGA6" s="108" t="s">
        <v>4</v>
      </c>
      <c r="TGB6" s="108" t="s">
        <v>70</v>
      </c>
      <c r="TGC6" s="108" t="s">
        <v>71</v>
      </c>
      <c r="TGD6" s="108" t="s">
        <v>37</v>
      </c>
      <c r="TGH6" s="109" t="s">
        <v>139</v>
      </c>
      <c r="TGI6" s="109" t="s">
        <v>140</v>
      </c>
      <c r="THD6" s="107" t="s">
        <v>61</v>
      </c>
      <c r="THE6" s="108" t="s">
        <v>2</v>
      </c>
      <c r="THF6" s="108" t="s">
        <v>3</v>
      </c>
      <c r="THG6" s="108" t="s">
        <v>4</v>
      </c>
      <c r="THH6" s="108" t="s">
        <v>70</v>
      </c>
      <c r="THI6" s="108" t="s">
        <v>71</v>
      </c>
      <c r="THJ6" s="108" t="s">
        <v>37</v>
      </c>
      <c r="THN6" s="109" t="s">
        <v>139</v>
      </c>
      <c r="THO6" s="109" t="s">
        <v>140</v>
      </c>
      <c r="TIJ6" s="107" t="s">
        <v>61</v>
      </c>
      <c r="TIK6" s="108" t="s">
        <v>2</v>
      </c>
      <c r="TIL6" s="108" t="s">
        <v>3</v>
      </c>
      <c r="TIM6" s="108" t="s">
        <v>4</v>
      </c>
      <c r="TIN6" s="108" t="s">
        <v>70</v>
      </c>
      <c r="TIO6" s="108" t="s">
        <v>71</v>
      </c>
      <c r="TIP6" s="108" t="s">
        <v>37</v>
      </c>
      <c r="TIT6" s="109" t="s">
        <v>139</v>
      </c>
      <c r="TIU6" s="109" t="s">
        <v>140</v>
      </c>
      <c r="TJP6" s="107" t="s">
        <v>61</v>
      </c>
      <c r="TJQ6" s="108" t="s">
        <v>2</v>
      </c>
      <c r="TJR6" s="108" t="s">
        <v>3</v>
      </c>
      <c r="TJS6" s="108" t="s">
        <v>4</v>
      </c>
      <c r="TJT6" s="108" t="s">
        <v>70</v>
      </c>
      <c r="TJU6" s="108" t="s">
        <v>71</v>
      </c>
      <c r="TJV6" s="108" t="s">
        <v>37</v>
      </c>
      <c r="TJZ6" s="109" t="s">
        <v>139</v>
      </c>
      <c r="TKA6" s="109" t="s">
        <v>140</v>
      </c>
      <c r="TKV6" s="107" t="s">
        <v>61</v>
      </c>
      <c r="TKW6" s="108" t="s">
        <v>2</v>
      </c>
      <c r="TKX6" s="108" t="s">
        <v>3</v>
      </c>
      <c r="TKY6" s="108" t="s">
        <v>4</v>
      </c>
      <c r="TKZ6" s="108" t="s">
        <v>70</v>
      </c>
      <c r="TLA6" s="108" t="s">
        <v>71</v>
      </c>
      <c r="TLB6" s="108" t="s">
        <v>37</v>
      </c>
      <c r="TLF6" s="109" t="s">
        <v>139</v>
      </c>
      <c r="TLG6" s="109" t="s">
        <v>140</v>
      </c>
      <c r="TMB6" s="107" t="s">
        <v>61</v>
      </c>
      <c r="TMC6" s="108" t="s">
        <v>2</v>
      </c>
      <c r="TMD6" s="108" t="s">
        <v>3</v>
      </c>
      <c r="TME6" s="108" t="s">
        <v>4</v>
      </c>
      <c r="TMF6" s="108" t="s">
        <v>70</v>
      </c>
      <c r="TMG6" s="108" t="s">
        <v>71</v>
      </c>
      <c r="TMH6" s="108" t="s">
        <v>37</v>
      </c>
      <c r="TML6" s="109" t="s">
        <v>139</v>
      </c>
      <c r="TMM6" s="109" t="s">
        <v>140</v>
      </c>
      <c r="TNH6" s="107" t="s">
        <v>61</v>
      </c>
      <c r="TNI6" s="108" t="s">
        <v>2</v>
      </c>
      <c r="TNJ6" s="108" t="s">
        <v>3</v>
      </c>
      <c r="TNK6" s="108" t="s">
        <v>4</v>
      </c>
      <c r="TNL6" s="108" t="s">
        <v>70</v>
      </c>
      <c r="TNM6" s="108" t="s">
        <v>71</v>
      </c>
      <c r="TNN6" s="108" t="s">
        <v>37</v>
      </c>
      <c r="TNR6" s="109" t="s">
        <v>139</v>
      </c>
      <c r="TNS6" s="109" t="s">
        <v>140</v>
      </c>
      <c r="TON6" s="107" t="s">
        <v>61</v>
      </c>
      <c r="TOO6" s="108" t="s">
        <v>2</v>
      </c>
      <c r="TOP6" s="108" t="s">
        <v>3</v>
      </c>
      <c r="TOQ6" s="108" t="s">
        <v>4</v>
      </c>
      <c r="TOR6" s="108" t="s">
        <v>70</v>
      </c>
      <c r="TOS6" s="108" t="s">
        <v>71</v>
      </c>
      <c r="TOT6" s="108" t="s">
        <v>37</v>
      </c>
      <c r="TOX6" s="109" t="s">
        <v>139</v>
      </c>
      <c r="TOY6" s="109" t="s">
        <v>140</v>
      </c>
      <c r="TPT6" s="107" t="s">
        <v>61</v>
      </c>
      <c r="TPU6" s="108" t="s">
        <v>2</v>
      </c>
      <c r="TPV6" s="108" t="s">
        <v>3</v>
      </c>
      <c r="TPW6" s="108" t="s">
        <v>4</v>
      </c>
      <c r="TPX6" s="108" t="s">
        <v>70</v>
      </c>
      <c r="TPY6" s="108" t="s">
        <v>71</v>
      </c>
      <c r="TPZ6" s="108" t="s">
        <v>37</v>
      </c>
      <c r="TQD6" s="109" t="s">
        <v>139</v>
      </c>
      <c r="TQE6" s="109" t="s">
        <v>140</v>
      </c>
      <c r="TQZ6" s="107" t="s">
        <v>61</v>
      </c>
      <c r="TRA6" s="108" t="s">
        <v>2</v>
      </c>
      <c r="TRB6" s="108" t="s">
        <v>3</v>
      </c>
      <c r="TRC6" s="108" t="s">
        <v>4</v>
      </c>
      <c r="TRD6" s="108" t="s">
        <v>70</v>
      </c>
      <c r="TRE6" s="108" t="s">
        <v>71</v>
      </c>
      <c r="TRF6" s="108" t="s">
        <v>37</v>
      </c>
      <c r="TRJ6" s="109" t="s">
        <v>139</v>
      </c>
      <c r="TRK6" s="109" t="s">
        <v>140</v>
      </c>
      <c r="TSF6" s="107" t="s">
        <v>61</v>
      </c>
      <c r="TSG6" s="108" t="s">
        <v>2</v>
      </c>
      <c r="TSH6" s="108" t="s">
        <v>3</v>
      </c>
      <c r="TSI6" s="108" t="s">
        <v>4</v>
      </c>
      <c r="TSJ6" s="108" t="s">
        <v>70</v>
      </c>
      <c r="TSK6" s="108" t="s">
        <v>71</v>
      </c>
      <c r="TSL6" s="108" t="s">
        <v>37</v>
      </c>
      <c r="TSP6" s="109" t="s">
        <v>139</v>
      </c>
      <c r="TSQ6" s="109" t="s">
        <v>140</v>
      </c>
      <c r="TTL6" s="107" t="s">
        <v>61</v>
      </c>
      <c r="TTM6" s="108" t="s">
        <v>2</v>
      </c>
      <c r="TTN6" s="108" t="s">
        <v>3</v>
      </c>
      <c r="TTO6" s="108" t="s">
        <v>4</v>
      </c>
      <c r="TTP6" s="108" t="s">
        <v>70</v>
      </c>
      <c r="TTQ6" s="108" t="s">
        <v>71</v>
      </c>
      <c r="TTR6" s="108" t="s">
        <v>37</v>
      </c>
      <c r="TTV6" s="109" t="s">
        <v>139</v>
      </c>
      <c r="TTW6" s="109" t="s">
        <v>140</v>
      </c>
      <c r="TUR6" s="107" t="s">
        <v>61</v>
      </c>
      <c r="TUS6" s="108" t="s">
        <v>2</v>
      </c>
      <c r="TUT6" s="108" t="s">
        <v>3</v>
      </c>
      <c r="TUU6" s="108" t="s">
        <v>4</v>
      </c>
      <c r="TUV6" s="108" t="s">
        <v>70</v>
      </c>
      <c r="TUW6" s="108" t="s">
        <v>71</v>
      </c>
      <c r="TUX6" s="108" t="s">
        <v>37</v>
      </c>
      <c r="TVB6" s="109" t="s">
        <v>139</v>
      </c>
      <c r="TVC6" s="109" t="s">
        <v>140</v>
      </c>
      <c r="TVX6" s="107" t="s">
        <v>61</v>
      </c>
      <c r="TVY6" s="108" t="s">
        <v>2</v>
      </c>
      <c r="TVZ6" s="108" t="s">
        <v>3</v>
      </c>
      <c r="TWA6" s="108" t="s">
        <v>4</v>
      </c>
      <c r="TWB6" s="108" t="s">
        <v>70</v>
      </c>
      <c r="TWC6" s="108" t="s">
        <v>71</v>
      </c>
      <c r="TWD6" s="108" t="s">
        <v>37</v>
      </c>
      <c r="TWH6" s="109" t="s">
        <v>139</v>
      </c>
      <c r="TWI6" s="109" t="s">
        <v>140</v>
      </c>
      <c r="TXD6" s="107" t="s">
        <v>61</v>
      </c>
      <c r="TXE6" s="108" t="s">
        <v>2</v>
      </c>
      <c r="TXF6" s="108" t="s">
        <v>3</v>
      </c>
      <c r="TXG6" s="108" t="s">
        <v>4</v>
      </c>
      <c r="TXH6" s="108" t="s">
        <v>70</v>
      </c>
      <c r="TXI6" s="108" t="s">
        <v>71</v>
      </c>
      <c r="TXJ6" s="108" t="s">
        <v>37</v>
      </c>
      <c r="TXN6" s="109" t="s">
        <v>139</v>
      </c>
      <c r="TXO6" s="109" t="s">
        <v>140</v>
      </c>
      <c r="TYJ6" s="107" t="s">
        <v>61</v>
      </c>
      <c r="TYK6" s="108" t="s">
        <v>2</v>
      </c>
      <c r="TYL6" s="108" t="s">
        <v>3</v>
      </c>
      <c r="TYM6" s="108" t="s">
        <v>4</v>
      </c>
      <c r="TYN6" s="108" t="s">
        <v>70</v>
      </c>
      <c r="TYO6" s="108" t="s">
        <v>71</v>
      </c>
      <c r="TYP6" s="108" t="s">
        <v>37</v>
      </c>
      <c r="TYT6" s="109" t="s">
        <v>139</v>
      </c>
      <c r="TYU6" s="109" t="s">
        <v>140</v>
      </c>
      <c r="TZP6" s="107" t="s">
        <v>61</v>
      </c>
      <c r="TZQ6" s="108" t="s">
        <v>2</v>
      </c>
      <c r="TZR6" s="108" t="s">
        <v>3</v>
      </c>
      <c r="TZS6" s="108" t="s">
        <v>4</v>
      </c>
      <c r="TZT6" s="108" t="s">
        <v>70</v>
      </c>
      <c r="TZU6" s="108" t="s">
        <v>71</v>
      </c>
      <c r="TZV6" s="108" t="s">
        <v>37</v>
      </c>
      <c r="TZZ6" s="109" t="s">
        <v>139</v>
      </c>
      <c r="UAA6" s="109" t="s">
        <v>140</v>
      </c>
      <c r="UAV6" s="107" t="s">
        <v>61</v>
      </c>
      <c r="UAW6" s="108" t="s">
        <v>2</v>
      </c>
      <c r="UAX6" s="108" t="s">
        <v>3</v>
      </c>
      <c r="UAY6" s="108" t="s">
        <v>4</v>
      </c>
      <c r="UAZ6" s="108" t="s">
        <v>70</v>
      </c>
      <c r="UBA6" s="108" t="s">
        <v>71</v>
      </c>
      <c r="UBB6" s="108" t="s">
        <v>37</v>
      </c>
      <c r="UBF6" s="109" t="s">
        <v>139</v>
      </c>
      <c r="UBG6" s="109" t="s">
        <v>140</v>
      </c>
      <c r="UCB6" s="107" t="s">
        <v>61</v>
      </c>
      <c r="UCC6" s="108" t="s">
        <v>2</v>
      </c>
      <c r="UCD6" s="108" t="s">
        <v>3</v>
      </c>
      <c r="UCE6" s="108" t="s">
        <v>4</v>
      </c>
      <c r="UCF6" s="108" t="s">
        <v>70</v>
      </c>
      <c r="UCG6" s="108" t="s">
        <v>71</v>
      </c>
      <c r="UCH6" s="108" t="s">
        <v>37</v>
      </c>
      <c r="UCL6" s="109" t="s">
        <v>139</v>
      </c>
      <c r="UCM6" s="109" t="s">
        <v>140</v>
      </c>
      <c r="UDH6" s="107" t="s">
        <v>61</v>
      </c>
      <c r="UDI6" s="108" t="s">
        <v>2</v>
      </c>
      <c r="UDJ6" s="108" t="s">
        <v>3</v>
      </c>
      <c r="UDK6" s="108" t="s">
        <v>4</v>
      </c>
      <c r="UDL6" s="108" t="s">
        <v>70</v>
      </c>
      <c r="UDM6" s="108" t="s">
        <v>71</v>
      </c>
      <c r="UDN6" s="108" t="s">
        <v>37</v>
      </c>
      <c r="UDR6" s="109" t="s">
        <v>139</v>
      </c>
      <c r="UDS6" s="109" t="s">
        <v>140</v>
      </c>
      <c r="UEN6" s="107" t="s">
        <v>61</v>
      </c>
      <c r="UEO6" s="108" t="s">
        <v>2</v>
      </c>
      <c r="UEP6" s="108" t="s">
        <v>3</v>
      </c>
      <c r="UEQ6" s="108" t="s">
        <v>4</v>
      </c>
      <c r="UER6" s="108" t="s">
        <v>70</v>
      </c>
      <c r="UES6" s="108" t="s">
        <v>71</v>
      </c>
      <c r="UET6" s="108" t="s">
        <v>37</v>
      </c>
      <c r="UEX6" s="109" t="s">
        <v>139</v>
      </c>
      <c r="UEY6" s="109" t="s">
        <v>140</v>
      </c>
      <c r="UFT6" s="107" t="s">
        <v>61</v>
      </c>
      <c r="UFU6" s="108" t="s">
        <v>2</v>
      </c>
      <c r="UFV6" s="108" t="s">
        <v>3</v>
      </c>
      <c r="UFW6" s="108" t="s">
        <v>4</v>
      </c>
      <c r="UFX6" s="108" t="s">
        <v>70</v>
      </c>
      <c r="UFY6" s="108" t="s">
        <v>71</v>
      </c>
      <c r="UFZ6" s="108" t="s">
        <v>37</v>
      </c>
      <c r="UGD6" s="109" t="s">
        <v>139</v>
      </c>
      <c r="UGE6" s="109" t="s">
        <v>140</v>
      </c>
      <c r="UGZ6" s="107" t="s">
        <v>61</v>
      </c>
      <c r="UHA6" s="108" t="s">
        <v>2</v>
      </c>
      <c r="UHB6" s="108" t="s">
        <v>3</v>
      </c>
      <c r="UHC6" s="108" t="s">
        <v>4</v>
      </c>
      <c r="UHD6" s="108" t="s">
        <v>70</v>
      </c>
      <c r="UHE6" s="108" t="s">
        <v>71</v>
      </c>
      <c r="UHF6" s="108" t="s">
        <v>37</v>
      </c>
      <c r="UHJ6" s="109" t="s">
        <v>139</v>
      </c>
      <c r="UHK6" s="109" t="s">
        <v>140</v>
      </c>
      <c r="UIF6" s="107" t="s">
        <v>61</v>
      </c>
      <c r="UIG6" s="108" t="s">
        <v>2</v>
      </c>
      <c r="UIH6" s="108" t="s">
        <v>3</v>
      </c>
      <c r="UII6" s="108" t="s">
        <v>4</v>
      </c>
      <c r="UIJ6" s="108" t="s">
        <v>70</v>
      </c>
      <c r="UIK6" s="108" t="s">
        <v>71</v>
      </c>
      <c r="UIL6" s="108" t="s">
        <v>37</v>
      </c>
      <c r="UIP6" s="109" t="s">
        <v>139</v>
      </c>
      <c r="UIQ6" s="109" t="s">
        <v>140</v>
      </c>
      <c r="UJL6" s="107" t="s">
        <v>61</v>
      </c>
      <c r="UJM6" s="108" t="s">
        <v>2</v>
      </c>
      <c r="UJN6" s="108" t="s">
        <v>3</v>
      </c>
      <c r="UJO6" s="108" t="s">
        <v>4</v>
      </c>
      <c r="UJP6" s="108" t="s">
        <v>70</v>
      </c>
      <c r="UJQ6" s="108" t="s">
        <v>71</v>
      </c>
      <c r="UJR6" s="108" t="s">
        <v>37</v>
      </c>
      <c r="UJV6" s="109" t="s">
        <v>139</v>
      </c>
      <c r="UJW6" s="109" t="s">
        <v>140</v>
      </c>
      <c r="UKR6" s="107" t="s">
        <v>61</v>
      </c>
      <c r="UKS6" s="108" t="s">
        <v>2</v>
      </c>
      <c r="UKT6" s="108" t="s">
        <v>3</v>
      </c>
      <c r="UKU6" s="108" t="s">
        <v>4</v>
      </c>
      <c r="UKV6" s="108" t="s">
        <v>70</v>
      </c>
      <c r="UKW6" s="108" t="s">
        <v>71</v>
      </c>
      <c r="UKX6" s="108" t="s">
        <v>37</v>
      </c>
      <c r="ULB6" s="109" t="s">
        <v>139</v>
      </c>
      <c r="ULC6" s="109" t="s">
        <v>140</v>
      </c>
      <c r="ULX6" s="107" t="s">
        <v>61</v>
      </c>
      <c r="ULY6" s="108" t="s">
        <v>2</v>
      </c>
      <c r="ULZ6" s="108" t="s">
        <v>3</v>
      </c>
      <c r="UMA6" s="108" t="s">
        <v>4</v>
      </c>
      <c r="UMB6" s="108" t="s">
        <v>70</v>
      </c>
      <c r="UMC6" s="108" t="s">
        <v>71</v>
      </c>
      <c r="UMD6" s="108" t="s">
        <v>37</v>
      </c>
      <c r="UMH6" s="109" t="s">
        <v>139</v>
      </c>
      <c r="UMI6" s="109" t="s">
        <v>140</v>
      </c>
      <c r="UND6" s="107" t="s">
        <v>61</v>
      </c>
      <c r="UNE6" s="108" t="s">
        <v>2</v>
      </c>
      <c r="UNF6" s="108" t="s">
        <v>3</v>
      </c>
      <c r="UNG6" s="108" t="s">
        <v>4</v>
      </c>
      <c r="UNH6" s="108" t="s">
        <v>70</v>
      </c>
      <c r="UNI6" s="108" t="s">
        <v>71</v>
      </c>
      <c r="UNJ6" s="108" t="s">
        <v>37</v>
      </c>
      <c r="UNN6" s="109" t="s">
        <v>139</v>
      </c>
      <c r="UNO6" s="109" t="s">
        <v>140</v>
      </c>
      <c r="UOJ6" s="107" t="s">
        <v>61</v>
      </c>
      <c r="UOK6" s="108" t="s">
        <v>2</v>
      </c>
      <c r="UOL6" s="108" t="s">
        <v>3</v>
      </c>
      <c r="UOM6" s="108" t="s">
        <v>4</v>
      </c>
      <c r="UON6" s="108" t="s">
        <v>70</v>
      </c>
      <c r="UOO6" s="108" t="s">
        <v>71</v>
      </c>
      <c r="UOP6" s="108" t="s">
        <v>37</v>
      </c>
      <c r="UOT6" s="109" t="s">
        <v>139</v>
      </c>
      <c r="UOU6" s="109" t="s">
        <v>140</v>
      </c>
      <c r="UPP6" s="107" t="s">
        <v>61</v>
      </c>
      <c r="UPQ6" s="108" t="s">
        <v>2</v>
      </c>
      <c r="UPR6" s="108" t="s">
        <v>3</v>
      </c>
      <c r="UPS6" s="108" t="s">
        <v>4</v>
      </c>
      <c r="UPT6" s="108" t="s">
        <v>70</v>
      </c>
      <c r="UPU6" s="108" t="s">
        <v>71</v>
      </c>
      <c r="UPV6" s="108" t="s">
        <v>37</v>
      </c>
      <c r="UPZ6" s="109" t="s">
        <v>139</v>
      </c>
      <c r="UQA6" s="109" t="s">
        <v>140</v>
      </c>
      <c r="UQV6" s="107" t="s">
        <v>61</v>
      </c>
      <c r="UQW6" s="108" t="s">
        <v>2</v>
      </c>
      <c r="UQX6" s="108" t="s">
        <v>3</v>
      </c>
      <c r="UQY6" s="108" t="s">
        <v>4</v>
      </c>
      <c r="UQZ6" s="108" t="s">
        <v>70</v>
      </c>
      <c r="URA6" s="108" t="s">
        <v>71</v>
      </c>
      <c r="URB6" s="108" t="s">
        <v>37</v>
      </c>
      <c r="URF6" s="109" t="s">
        <v>139</v>
      </c>
      <c r="URG6" s="109" t="s">
        <v>140</v>
      </c>
      <c r="USB6" s="107" t="s">
        <v>61</v>
      </c>
      <c r="USC6" s="108" t="s">
        <v>2</v>
      </c>
      <c r="USD6" s="108" t="s">
        <v>3</v>
      </c>
      <c r="USE6" s="108" t="s">
        <v>4</v>
      </c>
      <c r="USF6" s="108" t="s">
        <v>70</v>
      </c>
      <c r="USG6" s="108" t="s">
        <v>71</v>
      </c>
      <c r="USH6" s="108" t="s">
        <v>37</v>
      </c>
      <c r="USL6" s="109" t="s">
        <v>139</v>
      </c>
      <c r="USM6" s="109" t="s">
        <v>140</v>
      </c>
      <c r="UTH6" s="107" t="s">
        <v>61</v>
      </c>
      <c r="UTI6" s="108" t="s">
        <v>2</v>
      </c>
      <c r="UTJ6" s="108" t="s">
        <v>3</v>
      </c>
      <c r="UTK6" s="108" t="s">
        <v>4</v>
      </c>
      <c r="UTL6" s="108" t="s">
        <v>70</v>
      </c>
      <c r="UTM6" s="108" t="s">
        <v>71</v>
      </c>
      <c r="UTN6" s="108" t="s">
        <v>37</v>
      </c>
      <c r="UTR6" s="109" t="s">
        <v>139</v>
      </c>
      <c r="UTS6" s="109" t="s">
        <v>140</v>
      </c>
      <c r="UUN6" s="107" t="s">
        <v>61</v>
      </c>
      <c r="UUO6" s="108" t="s">
        <v>2</v>
      </c>
      <c r="UUP6" s="108" t="s">
        <v>3</v>
      </c>
      <c r="UUQ6" s="108" t="s">
        <v>4</v>
      </c>
      <c r="UUR6" s="108" t="s">
        <v>70</v>
      </c>
      <c r="UUS6" s="108" t="s">
        <v>71</v>
      </c>
      <c r="UUT6" s="108" t="s">
        <v>37</v>
      </c>
      <c r="UUX6" s="109" t="s">
        <v>139</v>
      </c>
      <c r="UUY6" s="109" t="s">
        <v>140</v>
      </c>
      <c r="UVT6" s="107" t="s">
        <v>61</v>
      </c>
      <c r="UVU6" s="108" t="s">
        <v>2</v>
      </c>
      <c r="UVV6" s="108" t="s">
        <v>3</v>
      </c>
      <c r="UVW6" s="108" t="s">
        <v>4</v>
      </c>
      <c r="UVX6" s="108" t="s">
        <v>70</v>
      </c>
      <c r="UVY6" s="108" t="s">
        <v>71</v>
      </c>
      <c r="UVZ6" s="108" t="s">
        <v>37</v>
      </c>
      <c r="UWD6" s="109" t="s">
        <v>139</v>
      </c>
      <c r="UWE6" s="109" t="s">
        <v>140</v>
      </c>
      <c r="UWZ6" s="107" t="s">
        <v>61</v>
      </c>
      <c r="UXA6" s="108" t="s">
        <v>2</v>
      </c>
      <c r="UXB6" s="108" t="s">
        <v>3</v>
      </c>
      <c r="UXC6" s="108" t="s">
        <v>4</v>
      </c>
      <c r="UXD6" s="108" t="s">
        <v>70</v>
      </c>
      <c r="UXE6" s="108" t="s">
        <v>71</v>
      </c>
      <c r="UXF6" s="108" t="s">
        <v>37</v>
      </c>
      <c r="UXJ6" s="109" t="s">
        <v>139</v>
      </c>
      <c r="UXK6" s="109" t="s">
        <v>140</v>
      </c>
      <c r="UYF6" s="107" t="s">
        <v>61</v>
      </c>
      <c r="UYG6" s="108" t="s">
        <v>2</v>
      </c>
      <c r="UYH6" s="108" t="s">
        <v>3</v>
      </c>
      <c r="UYI6" s="108" t="s">
        <v>4</v>
      </c>
      <c r="UYJ6" s="108" t="s">
        <v>70</v>
      </c>
      <c r="UYK6" s="108" t="s">
        <v>71</v>
      </c>
      <c r="UYL6" s="108" t="s">
        <v>37</v>
      </c>
      <c r="UYP6" s="109" t="s">
        <v>139</v>
      </c>
      <c r="UYQ6" s="109" t="s">
        <v>140</v>
      </c>
      <c r="UZL6" s="107" t="s">
        <v>61</v>
      </c>
      <c r="UZM6" s="108" t="s">
        <v>2</v>
      </c>
      <c r="UZN6" s="108" t="s">
        <v>3</v>
      </c>
      <c r="UZO6" s="108" t="s">
        <v>4</v>
      </c>
      <c r="UZP6" s="108" t="s">
        <v>70</v>
      </c>
      <c r="UZQ6" s="108" t="s">
        <v>71</v>
      </c>
      <c r="UZR6" s="108" t="s">
        <v>37</v>
      </c>
      <c r="UZV6" s="109" t="s">
        <v>139</v>
      </c>
      <c r="UZW6" s="109" t="s">
        <v>140</v>
      </c>
      <c r="VAR6" s="107" t="s">
        <v>61</v>
      </c>
      <c r="VAS6" s="108" t="s">
        <v>2</v>
      </c>
      <c r="VAT6" s="108" t="s">
        <v>3</v>
      </c>
      <c r="VAU6" s="108" t="s">
        <v>4</v>
      </c>
      <c r="VAV6" s="108" t="s">
        <v>70</v>
      </c>
      <c r="VAW6" s="108" t="s">
        <v>71</v>
      </c>
      <c r="VAX6" s="108" t="s">
        <v>37</v>
      </c>
      <c r="VBB6" s="109" t="s">
        <v>139</v>
      </c>
      <c r="VBC6" s="109" t="s">
        <v>140</v>
      </c>
      <c r="VBX6" s="107" t="s">
        <v>61</v>
      </c>
      <c r="VBY6" s="108" t="s">
        <v>2</v>
      </c>
      <c r="VBZ6" s="108" t="s">
        <v>3</v>
      </c>
      <c r="VCA6" s="108" t="s">
        <v>4</v>
      </c>
      <c r="VCB6" s="108" t="s">
        <v>70</v>
      </c>
      <c r="VCC6" s="108" t="s">
        <v>71</v>
      </c>
      <c r="VCD6" s="108" t="s">
        <v>37</v>
      </c>
      <c r="VCH6" s="109" t="s">
        <v>139</v>
      </c>
      <c r="VCI6" s="109" t="s">
        <v>140</v>
      </c>
      <c r="VDD6" s="107" t="s">
        <v>61</v>
      </c>
      <c r="VDE6" s="108" t="s">
        <v>2</v>
      </c>
      <c r="VDF6" s="108" t="s">
        <v>3</v>
      </c>
      <c r="VDG6" s="108" t="s">
        <v>4</v>
      </c>
      <c r="VDH6" s="108" t="s">
        <v>70</v>
      </c>
      <c r="VDI6" s="108" t="s">
        <v>71</v>
      </c>
      <c r="VDJ6" s="108" t="s">
        <v>37</v>
      </c>
      <c r="VDN6" s="109" t="s">
        <v>139</v>
      </c>
      <c r="VDO6" s="109" t="s">
        <v>140</v>
      </c>
      <c r="VEJ6" s="107" t="s">
        <v>61</v>
      </c>
      <c r="VEK6" s="108" t="s">
        <v>2</v>
      </c>
      <c r="VEL6" s="108" t="s">
        <v>3</v>
      </c>
      <c r="VEM6" s="108" t="s">
        <v>4</v>
      </c>
      <c r="VEN6" s="108" t="s">
        <v>70</v>
      </c>
      <c r="VEO6" s="108" t="s">
        <v>71</v>
      </c>
      <c r="VEP6" s="108" t="s">
        <v>37</v>
      </c>
      <c r="VET6" s="109" t="s">
        <v>139</v>
      </c>
      <c r="VEU6" s="109" t="s">
        <v>140</v>
      </c>
      <c r="VFP6" s="107" t="s">
        <v>61</v>
      </c>
      <c r="VFQ6" s="108" t="s">
        <v>2</v>
      </c>
      <c r="VFR6" s="108" t="s">
        <v>3</v>
      </c>
      <c r="VFS6" s="108" t="s">
        <v>4</v>
      </c>
      <c r="VFT6" s="108" t="s">
        <v>70</v>
      </c>
      <c r="VFU6" s="108" t="s">
        <v>71</v>
      </c>
      <c r="VFV6" s="108" t="s">
        <v>37</v>
      </c>
      <c r="VFZ6" s="109" t="s">
        <v>139</v>
      </c>
      <c r="VGA6" s="109" t="s">
        <v>140</v>
      </c>
      <c r="VGV6" s="107" t="s">
        <v>61</v>
      </c>
      <c r="VGW6" s="108" t="s">
        <v>2</v>
      </c>
      <c r="VGX6" s="108" t="s">
        <v>3</v>
      </c>
      <c r="VGY6" s="108" t="s">
        <v>4</v>
      </c>
      <c r="VGZ6" s="108" t="s">
        <v>70</v>
      </c>
      <c r="VHA6" s="108" t="s">
        <v>71</v>
      </c>
      <c r="VHB6" s="108" t="s">
        <v>37</v>
      </c>
      <c r="VHF6" s="109" t="s">
        <v>139</v>
      </c>
      <c r="VHG6" s="109" t="s">
        <v>140</v>
      </c>
      <c r="VIB6" s="107" t="s">
        <v>61</v>
      </c>
      <c r="VIC6" s="108" t="s">
        <v>2</v>
      </c>
      <c r="VID6" s="108" t="s">
        <v>3</v>
      </c>
      <c r="VIE6" s="108" t="s">
        <v>4</v>
      </c>
      <c r="VIF6" s="108" t="s">
        <v>70</v>
      </c>
      <c r="VIG6" s="108" t="s">
        <v>71</v>
      </c>
      <c r="VIH6" s="108" t="s">
        <v>37</v>
      </c>
      <c r="VIL6" s="109" t="s">
        <v>139</v>
      </c>
      <c r="VIM6" s="109" t="s">
        <v>140</v>
      </c>
      <c r="VJH6" s="107" t="s">
        <v>61</v>
      </c>
      <c r="VJI6" s="108" t="s">
        <v>2</v>
      </c>
      <c r="VJJ6" s="108" t="s">
        <v>3</v>
      </c>
      <c r="VJK6" s="108" t="s">
        <v>4</v>
      </c>
      <c r="VJL6" s="108" t="s">
        <v>70</v>
      </c>
      <c r="VJM6" s="108" t="s">
        <v>71</v>
      </c>
      <c r="VJN6" s="108" t="s">
        <v>37</v>
      </c>
      <c r="VJR6" s="109" t="s">
        <v>139</v>
      </c>
      <c r="VJS6" s="109" t="s">
        <v>140</v>
      </c>
      <c r="VKN6" s="107" t="s">
        <v>61</v>
      </c>
      <c r="VKO6" s="108" t="s">
        <v>2</v>
      </c>
      <c r="VKP6" s="108" t="s">
        <v>3</v>
      </c>
      <c r="VKQ6" s="108" t="s">
        <v>4</v>
      </c>
      <c r="VKR6" s="108" t="s">
        <v>70</v>
      </c>
      <c r="VKS6" s="108" t="s">
        <v>71</v>
      </c>
      <c r="VKT6" s="108" t="s">
        <v>37</v>
      </c>
      <c r="VKX6" s="109" t="s">
        <v>139</v>
      </c>
      <c r="VKY6" s="109" t="s">
        <v>140</v>
      </c>
      <c r="VLT6" s="107" t="s">
        <v>61</v>
      </c>
      <c r="VLU6" s="108" t="s">
        <v>2</v>
      </c>
      <c r="VLV6" s="108" t="s">
        <v>3</v>
      </c>
      <c r="VLW6" s="108" t="s">
        <v>4</v>
      </c>
      <c r="VLX6" s="108" t="s">
        <v>70</v>
      </c>
      <c r="VLY6" s="108" t="s">
        <v>71</v>
      </c>
      <c r="VLZ6" s="108" t="s">
        <v>37</v>
      </c>
      <c r="VMD6" s="109" t="s">
        <v>139</v>
      </c>
      <c r="VME6" s="109" t="s">
        <v>140</v>
      </c>
      <c r="VMZ6" s="107" t="s">
        <v>61</v>
      </c>
      <c r="VNA6" s="108" t="s">
        <v>2</v>
      </c>
      <c r="VNB6" s="108" t="s">
        <v>3</v>
      </c>
      <c r="VNC6" s="108" t="s">
        <v>4</v>
      </c>
      <c r="VND6" s="108" t="s">
        <v>70</v>
      </c>
      <c r="VNE6" s="108" t="s">
        <v>71</v>
      </c>
      <c r="VNF6" s="108" t="s">
        <v>37</v>
      </c>
      <c r="VNJ6" s="109" t="s">
        <v>139</v>
      </c>
      <c r="VNK6" s="109" t="s">
        <v>140</v>
      </c>
      <c r="VOF6" s="107" t="s">
        <v>61</v>
      </c>
      <c r="VOG6" s="108" t="s">
        <v>2</v>
      </c>
      <c r="VOH6" s="108" t="s">
        <v>3</v>
      </c>
      <c r="VOI6" s="108" t="s">
        <v>4</v>
      </c>
      <c r="VOJ6" s="108" t="s">
        <v>70</v>
      </c>
      <c r="VOK6" s="108" t="s">
        <v>71</v>
      </c>
      <c r="VOL6" s="108" t="s">
        <v>37</v>
      </c>
      <c r="VOP6" s="109" t="s">
        <v>139</v>
      </c>
      <c r="VOQ6" s="109" t="s">
        <v>140</v>
      </c>
      <c r="VPL6" s="107" t="s">
        <v>61</v>
      </c>
      <c r="VPM6" s="108" t="s">
        <v>2</v>
      </c>
      <c r="VPN6" s="108" t="s">
        <v>3</v>
      </c>
      <c r="VPO6" s="108" t="s">
        <v>4</v>
      </c>
      <c r="VPP6" s="108" t="s">
        <v>70</v>
      </c>
      <c r="VPQ6" s="108" t="s">
        <v>71</v>
      </c>
      <c r="VPR6" s="108" t="s">
        <v>37</v>
      </c>
      <c r="VPV6" s="109" t="s">
        <v>139</v>
      </c>
      <c r="VPW6" s="109" t="s">
        <v>140</v>
      </c>
      <c r="VQR6" s="107" t="s">
        <v>61</v>
      </c>
      <c r="VQS6" s="108" t="s">
        <v>2</v>
      </c>
      <c r="VQT6" s="108" t="s">
        <v>3</v>
      </c>
      <c r="VQU6" s="108" t="s">
        <v>4</v>
      </c>
      <c r="VQV6" s="108" t="s">
        <v>70</v>
      </c>
      <c r="VQW6" s="108" t="s">
        <v>71</v>
      </c>
      <c r="VQX6" s="108" t="s">
        <v>37</v>
      </c>
      <c r="VRB6" s="109" t="s">
        <v>139</v>
      </c>
      <c r="VRC6" s="109" t="s">
        <v>140</v>
      </c>
      <c r="VRX6" s="107" t="s">
        <v>61</v>
      </c>
      <c r="VRY6" s="108" t="s">
        <v>2</v>
      </c>
      <c r="VRZ6" s="108" t="s">
        <v>3</v>
      </c>
      <c r="VSA6" s="108" t="s">
        <v>4</v>
      </c>
      <c r="VSB6" s="108" t="s">
        <v>70</v>
      </c>
      <c r="VSC6" s="108" t="s">
        <v>71</v>
      </c>
      <c r="VSD6" s="108" t="s">
        <v>37</v>
      </c>
      <c r="VSH6" s="109" t="s">
        <v>139</v>
      </c>
      <c r="VSI6" s="109" t="s">
        <v>140</v>
      </c>
      <c r="VTD6" s="107" t="s">
        <v>61</v>
      </c>
      <c r="VTE6" s="108" t="s">
        <v>2</v>
      </c>
      <c r="VTF6" s="108" t="s">
        <v>3</v>
      </c>
      <c r="VTG6" s="108" t="s">
        <v>4</v>
      </c>
      <c r="VTH6" s="108" t="s">
        <v>70</v>
      </c>
      <c r="VTI6" s="108" t="s">
        <v>71</v>
      </c>
      <c r="VTJ6" s="108" t="s">
        <v>37</v>
      </c>
      <c r="VTN6" s="109" t="s">
        <v>139</v>
      </c>
      <c r="VTO6" s="109" t="s">
        <v>140</v>
      </c>
      <c r="VUJ6" s="107" t="s">
        <v>61</v>
      </c>
      <c r="VUK6" s="108" t="s">
        <v>2</v>
      </c>
      <c r="VUL6" s="108" t="s">
        <v>3</v>
      </c>
      <c r="VUM6" s="108" t="s">
        <v>4</v>
      </c>
      <c r="VUN6" s="108" t="s">
        <v>70</v>
      </c>
      <c r="VUO6" s="108" t="s">
        <v>71</v>
      </c>
      <c r="VUP6" s="108" t="s">
        <v>37</v>
      </c>
      <c r="VUT6" s="109" t="s">
        <v>139</v>
      </c>
      <c r="VUU6" s="109" t="s">
        <v>140</v>
      </c>
      <c r="VVP6" s="107" t="s">
        <v>61</v>
      </c>
      <c r="VVQ6" s="108" t="s">
        <v>2</v>
      </c>
      <c r="VVR6" s="108" t="s">
        <v>3</v>
      </c>
      <c r="VVS6" s="108" t="s">
        <v>4</v>
      </c>
      <c r="VVT6" s="108" t="s">
        <v>70</v>
      </c>
      <c r="VVU6" s="108" t="s">
        <v>71</v>
      </c>
      <c r="VVV6" s="108" t="s">
        <v>37</v>
      </c>
      <c r="VVZ6" s="109" t="s">
        <v>139</v>
      </c>
      <c r="VWA6" s="109" t="s">
        <v>140</v>
      </c>
      <c r="VWV6" s="107" t="s">
        <v>61</v>
      </c>
      <c r="VWW6" s="108" t="s">
        <v>2</v>
      </c>
      <c r="VWX6" s="108" t="s">
        <v>3</v>
      </c>
      <c r="VWY6" s="108" t="s">
        <v>4</v>
      </c>
      <c r="VWZ6" s="108" t="s">
        <v>70</v>
      </c>
      <c r="VXA6" s="108" t="s">
        <v>71</v>
      </c>
      <c r="VXB6" s="108" t="s">
        <v>37</v>
      </c>
      <c r="VXF6" s="109" t="s">
        <v>139</v>
      </c>
      <c r="VXG6" s="109" t="s">
        <v>140</v>
      </c>
      <c r="VYB6" s="107" t="s">
        <v>61</v>
      </c>
      <c r="VYC6" s="108" t="s">
        <v>2</v>
      </c>
      <c r="VYD6" s="108" t="s">
        <v>3</v>
      </c>
      <c r="VYE6" s="108" t="s">
        <v>4</v>
      </c>
      <c r="VYF6" s="108" t="s">
        <v>70</v>
      </c>
      <c r="VYG6" s="108" t="s">
        <v>71</v>
      </c>
      <c r="VYH6" s="108" t="s">
        <v>37</v>
      </c>
      <c r="VYL6" s="109" t="s">
        <v>139</v>
      </c>
      <c r="VYM6" s="109" t="s">
        <v>140</v>
      </c>
      <c r="VZH6" s="107" t="s">
        <v>61</v>
      </c>
      <c r="VZI6" s="108" t="s">
        <v>2</v>
      </c>
      <c r="VZJ6" s="108" t="s">
        <v>3</v>
      </c>
      <c r="VZK6" s="108" t="s">
        <v>4</v>
      </c>
      <c r="VZL6" s="108" t="s">
        <v>70</v>
      </c>
      <c r="VZM6" s="108" t="s">
        <v>71</v>
      </c>
      <c r="VZN6" s="108" t="s">
        <v>37</v>
      </c>
      <c r="VZR6" s="109" t="s">
        <v>139</v>
      </c>
      <c r="VZS6" s="109" t="s">
        <v>140</v>
      </c>
      <c r="WAN6" s="107" t="s">
        <v>61</v>
      </c>
      <c r="WAO6" s="108" t="s">
        <v>2</v>
      </c>
      <c r="WAP6" s="108" t="s">
        <v>3</v>
      </c>
      <c r="WAQ6" s="108" t="s">
        <v>4</v>
      </c>
      <c r="WAR6" s="108" t="s">
        <v>70</v>
      </c>
      <c r="WAS6" s="108" t="s">
        <v>71</v>
      </c>
      <c r="WAT6" s="108" t="s">
        <v>37</v>
      </c>
      <c r="WAX6" s="109" t="s">
        <v>139</v>
      </c>
      <c r="WAY6" s="109" t="s">
        <v>140</v>
      </c>
      <c r="WBT6" s="107" t="s">
        <v>61</v>
      </c>
      <c r="WBU6" s="108" t="s">
        <v>2</v>
      </c>
      <c r="WBV6" s="108" t="s">
        <v>3</v>
      </c>
      <c r="WBW6" s="108" t="s">
        <v>4</v>
      </c>
      <c r="WBX6" s="108" t="s">
        <v>70</v>
      </c>
      <c r="WBY6" s="108" t="s">
        <v>71</v>
      </c>
      <c r="WBZ6" s="108" t="s">
        <v>37</v>
      </c>
      <c r="WCD6" s="109" t="s">
        <v>139</v>
      </c>
      <c r="WCE6" s="109" t="s">
        <v>140</v>
      </c>
      <c r="WCZ6" s="107" t="s">
        <v>61</v>
      </c>
      <c r="WDA6" s="108" t="s">
        <v>2</v>
      </c>
      <c r="WDB6" s="108" t="s">
        <v>3</v>
      </c>
      <c r="WDC6" s="108" t="s">
        <v>4</v>
      </c>
      <c r="WDD6" s="108" t="s">
        <v>70</v>
      </c>
      <c r="WDE6" s="108" t="s">
        <v>71</v>
      </c>
      <c r="WDF6" s="108" t="s">
        <v>37</v>
      </c>
      <c r="WDJ6" s="109" t="s">
        <v>139</v>
      </c>
      <c r="WDK6" s="109" t="s">
        <v>140</v>
      </c>
      <c r="WEF6" s="107" t="s">
        <v>61</v>
      </c>
      <c r="WEG6" s="108" t="s">
        <v>2</v>
      </c>
      <c r="WEH6" s="108" t="s">
        <v>3</v>
      </c>
      <c r="WEI6" s="108" t="s">
        <v>4</v>
      </c>
      <c r="WEJ6" s="108" t="s">
        <v>70</v>
      </c>
      <c r="WEK6" s="108" t="s">
        <v>71</v>
      </c>
      <c r="WEL6" s="108" t="s">
        <v>37</v>
      </c>
      <c r="WEP6" s="109" t="s">
        <v>139</v>
      </c>
      <c r="WEQ6" s="109" t="s">
        <v>140</v>
      </c>
      <c r="WFL6" s="107" t="s">
        <v>61</v>
      </c>
      <c r="WFM6" s="108" t="s">
        <v>2</v>
      </c>
      <c r="WFN6" s="108" t="s">
        <v>3</v>
      </c>
      <c r="WFO6" s="108" t="s">
        <v>4</v>
      </c>
      <c r="WFP6" s="108" t="s">
        <v>70</v>
      </c>
      <c r="WFQ6" s="108" t="s">
        <v>71</v>
      </c>
      <c r="WFR6" s="108" t="s">
        <v>37</v>
      </c>
      <c r="WFV6" s="109" t="s">
        <v>139</v>
      </c>
      <c r="WFW6" s="109" t="s">
        <v>140</v>
      </c>
      <c r="WGR6" s="107" t="s">
        <v>61</v>
      </c>
      <c r="WGS6" s="108" t="s">
        <v>2</v>
      </c>
      <c r="WGT6" s="108" t="s">
        <v>3</v>
      </c>
      <c r="WGU6" s="108" t="s">
        <v>4</v>
      </c>
      <c r="WGV6" s="108" t="s">
        <v>70</v>
      </c>
      <c r="WGW6" s="108" t="s">
        <v>71</v>
      </c>
      <c r="WGX6" s="108" t="s">
        <v>37</v>
      </c>
      <c r="WHB6" s="109" t="s">
        <v>139</v>
      </c>
      <c r="WHC6" s="109" t="s">
        <v>140</v>
      </c>
      <c r="WHX6" s="107" t="s">
        <v>61</v>
      </c>
      <c r="WHY6" s="108" t="s">
        <v>2</v>
      </c>
      <c r="WHZ6" s="108" t="s">
        <v>3</v>
      </c>
      <c r="WIA6" s="108" t="s">
        <v>4</v>
      </c>
      <c r="WIB6" s="108" t="s">
        <v>70</v>
      </c>
      <c r="WIC6" s="108" t="s">
        <v>71</v>
      </c>
      <c r="WID6" s="108" t="s">
        <v>37</v>
      </c>
      <c r="WIH6" s="109" t="s">
        <v>139</v>
      </c>
      <c r="WII6" s="109" t="s">
        <v>140</v>
      </c>
      <c r="WJD6" s="107" t="s">
        <v>61</v>
      </c>
      <c r="WJE6" s="108" t="s">
        <v>2</v>
      </c>
      <c r="WJF6" s="108" t="s">
        <v>3</v>
      </c>
      <c r="WJG6" s="108" t="s">
        <v>4</v>
      </c>
      <c r="WJH6" s="108" t="s">
        <v>70</v>
      </c>
      <c r="WJI6" s="108" t="s">
        <v>71</v>
      </c>
      <c r="WJJ6" s="108" t="s">
        <v>37</v>
      </c>
      <c r="WJN6" s="109" t="s">
        <v>139</v>
      </c>
      <c r="WJO6" s="109" t="s">
        <v>140</v>
      </c>
      <c r="WKJ6" s="107" t="s">
        <v>61</v>
      </c>
      <c r="WKK6" s="108" t="s">
        <v>2</v>
      </c>
      <c r="WKL6" s="108" t="s">
        <v>3</v>
      </c>
      <c r="WKM6" s="108" t="s">
        <v>4</v>
      </c>
      <c r="WKN6" s="108" t="s">
        <v>70</v>
      </c>
      <c r="WKO6" s="108" t="s">
        <v>71</v>
      </c>
      <c r="WKP6" s="108" t="s">
        <v>37</v>
      </c>
      <c r="WKT6" s="109" t="s">
        <v>139</v>
      </c>
      <c r="WKU6" s="109" t="s">
        <v>140</v>
      </c>
      <c r="WLP6" s="107" t="s">
        <v>61</v>
      </c>
      <c r="WLQ6" s="108" t="s">
        <v>2</v>
      </c>
      <c r="WLR6" s="108" t="s">
        <v>3</v>
      </c>
      <c r="WLS6" s="108" t="s">
        <v>4</v>
      </c>
      <c r="WLT6" s="108" t="s">
        <v>70</v>
      </c>
      <c r="WLU6" s="108" t="s">
        <v>71</v>
      </c>
      <c r="WLV6" s="108" t="s">
        <v>37</v>
      </c>
      <c r="WLZ6" s="109" t="s">
        <v>139</v>
      </c>
      <c r="WMA6" s="109" t="s">
        <v>140</v>
      </c>
      <c r="WMV6" s="107" t="s">
        <v>61</v>
      </c>
      <c r="WMW6" s="108" t="s">
        <v>2</v>
      </c>
      <c r="WMX6" s="108" t="s">
        <v>3</v>
      </c>
      <c r="WMY6" s="108" t="s">
        <v>4</v>
      </c>
      <c r="WMZ6" s="108" t="s">
        <v>70</v>
      </c>
      <c r="WNA6" s="108" t="s">
        <v>71</v>
      </c>
      <c r="WNB6" s="108" t="s">
        <v>37</v>
      </c>
      <c r="WNF6" s="109" t="s">
        <v>139</v>
      </c>
      <c r="WNG6" s="109" t="s">
        <v>140</v>
      </c>
      <c r="WOB6" s="107" t="s">
        <v>61</v>
      </c>
      <c r="WOC6" s="108" t="s">
        <v>2</v>
      </c>
      <c r="WOD6" s="108" t="s">
        <v>3</v>
      </c>
      <c r="WOE6" s="108" t="s">
        <v>4</v>
      </c>
      <c r="WOF6" s="108" t="s">
        <v>70</v>
      </c>
      <c r="WOG6" s="108" t="s">
        <v>71</v>
      </c>
      <c r="WOH6" s="108" t="s">
        <v>37</v>
      </c>
      <c r="WOL6" s="109" t="s">
        <v>139</v>
      </c>
      <c r="WOM6" s="109" t="s">
        <v>140</v>
      </c>
      <c r="WPH6" s="107" t="s">
        <v>61</v>
      </c>
      <c r="WPI6" s="108" t="s">
        <v>2</v>
      </c>
      <c r="WPJ6" s="108" t="s">
        <v>3</v>
      </c>
      <c r="WPK6" s="108" t="s">
        <v>4</v>
      </c>
      <c r="WPL6" s="108" t="s">
        <v>70</v>
      </c>
      <c r="WPM6" s="108" t="s">
        <v>71</v>
      </c>
      <c r="WPN6" s="108" t="s">
        <v>37</v>
      </c>
      <c r="WPR6" s="109" t="s">
        <v>139</v>
      </c>
      <c r="WPS6" s="109" t="s">
        <v>140</v>
      </c>
      <c r="WQN6" s="107" t="s">
        <v>61</v>
      </c>
      <c r="WQO6" s="108" t="s">
        <v>2</v>
      </c>
      <c r="WQP6" s="108" t="s">
        <v>3</v>
      </c>
      <c r="WQQ6" s="108" t="s">
        <v>4</v>
      </c>
      <c r="WQR6" s="108" t="s">
        <v>70</v>
      </c>
      <c r="WQS6" s="108" t="s">
        <v>71</v>
      </c>
      <c r="WQT6" s="108" t="s">
        <v>37</v>
      </c>
      <c r="WQX6" s="109" t="s">
        <v>139</v>
      </c>
      <c r="WQY6" s="109" t="s">
        <v>140</v>
      </c>
      <c r="WRT6" s="107" t="s">
        <v>61</v>
      </c>
      <c r="WRU6" s="108" t="s">
        <v>2</v>
      </c>
      <c r="WRV6" s="108" t="s">
        <v>3</v>
      </c>
      <c r="WRW6" s="108" t="s">
        <v>4</v>
      </c>
      <c r="WRX6" s="108" t="s">
        <v>70</v>
      </c>
      <c r="WRY6" s="108" t="s">
        <v>71</v>
      </c>
      <c r="WRZ6" s="108" t="s">
        <v>37</v>
      </c>
      <c r="WSD6" s="109" t="s">
        <v>139</v>
      </c>
      <c r="WSE6" s="109" t="s">
        <v>140</v>
      </c>
      <c r="WSZ6" s="107" t="s">
        <v>61</v>
      </c>
      <c r="WTA6" s="108" t="s">
        <v>2</v>
      </c>
      <c r="WTB6" s="108" t="s">
        <v>3</v>
      </c>
      <c r="WTC6" s="108" t="s">
        <v>4</v>
      </c>
      <c r="WTD6" s="108" t="s">
        <v>70</v>
      </c>
      <c r="WTE6" s="108" t="s">
        <v>71</v>
      </c>
      <c r="WTF6" s="108" t="s">
        <v>37</v>
      </c>
      <c r="WTJ6" s="109" t="s">
        <v>139</v>
      </c>
      <c r="WTK6" s="109" t="s">
        <v>140</v>
      </c>
      <c r="WUF6" s="107" t="s">
        <v>61</v>
      </c>
      <c r="WUG6" s="108" t="s">
        <v>2</v>
      </c>
      <c r="WUH6" s="108" t="s">
        <v>3</v>
      </c>
      <c r="WUI6" s="108" t="s">
        <v>4</v>
      </c>
      <c r="WUJ6" s="108" t="s">
        <v>70</v>
      </c>
      <c r="WUK6" s="108" t="s">
        <v>71</v>
      </c>
      <c r="WUL6" s="108" t="s">
        <v>37</v>
      </c>
      <c r="WUP6" s="109" t="s">
        <v>139</v>
      </c>
      <c r="WUQ6" s="109" t="s">
        <v>140</v>
      </c>
      <c r="WVL6" s="107" t="s">
        <v>61</v>
      </c>
      <c r="WVM6" s="108" t="s">
        <v>2</v>
      </c>
      <c r="WVN6" s="108" t="s">
        <v>3</v>
      </c>
      <c r="WVO6" s="108" t="s">
        <v>4</v>
      </c>
      <c r="WVP6" s="108" t="s">
        <v>70</v>
      </c>
      <c r="WVQ6" s="108" t="s">
        <v>71</v>
      </c>
      <c r="WVR6" s="108" t="s">
        <v>37</v>
      </c>
      <c r="WVV6" s="109" t="s">
        <v>139</v>
      </c>
      <c r="WVW6" s="109" t="s">
        <v>140</v>
      </c>
      <c r="WWR6" s="107" t="s">
        <v>61</v>
      </c>
      <c r="WWS6" s="108" t="s">
        <v>2</v>
      </c>
      <c r="WWT6" s="108" t="s">
        <v>3</v>
      </c>
      <c r="WWU6" s="108" t="s">
        <v>4</v>
      </c>
      <c r="WWV6" s="108" t="s">
        <v>70</v>
      </c>
      <c r="WWW6" s="108" t="s">
        <v>71</v>
      </c>
      <c r="WWX6" s="108" t="s">
        <v>37</v>
      </c>
      <c r="WXB6" s="109" t="s">
        <v>139</v>
      </c>
      <c r="WXC6" s="109" t="s">
        <v>140</v>
      </c>
      <c r="WXX6" s="107" t="s">
        <v>61</v>
      </c>
      <c r="WXY6" s="108" t="s">
        <v>2</v>
      </c>
      <c r="WXZ6" s="108" t="s">
        <v>3</v>
      </c>
      <c r="WYA6" s="108" t="s">
        <v>4</v>
      </c>
      <c r="WYB6" s="108" t="s">
        <v>70</v>
      </c>
      <c r="WYC6" s="108" t="s">
        <v>71</v>
      </c>
      <c r="WYD6" s="108" t="s">
        <v>37</v>
      </c>
      <c r="WYH6" s="109" t="s">
        <v>139</v>
      </c>
      <c r="WYI6" s="109" t="s">
        <v>140</v>
      </c>
      <c r="WZD6" s="107" t="s">
        <v>61</v>
      </c>
      <c r="WZE6" s="108" t="s">
        <v>2</v>
      </c>
      <c r="WZF6" s="108" t="s">
        <v>3</v>
      </c>
      <c r="WZG6" s="108" t="s">
        <v>4</v>
      </c>
      <c r="WZH6" s="108" t="s">
        <v>70</v>
      </c>
      <c r="WZI6" s="108" t="s">
        <v>71</v>
      </c>
      <c r="WZJ6" s="108" t="s">
        <v>37</v>
      </c>
      <c r="WZN6" s="109" t="s">
        <v>139</v>
      </c>
      <c r="WZO6" s="109" t="s">
        <v>140</v>
      </c>
      <c r="XAJ6" s="107" t="s">
        <v>61</v>
      </c>
      <c r="XAK6" s="108" t="s">
        <v>2</v>
      </c>
      <c r="XAL6" s="108" t="s">
        <v>3</v>
      </c>
      <c r="XAM6" s="108" t="s">
        <v>4</v>
      </c>
      <c r="XAN6" s="108" t="s">
        <v>70</v>
      </c>
      <c r="XAO6" s="108" t="s">
        <v>71</v>
      </c>
      <c r="XAP6" s="108" t="s">
        <v>37</v>
      </c>
      <c r="XAT6" s="109" t="s">
        <v>139</v>
      </c>
      <c r="XAU6" s="109" t="s">
        <v>140</v>
      </c>
      <c r="XBP6" s="107" t="s">
        <v>61</v>
      </c>
      <c r="XBQ6" s="108" t="s">
        <v>2</v>
      </c>
      <c r="XBR6" s="108" t="s">
        <v>3</v>
      </c>
      <c r="XBS6" s="108" t="s">
        <v>4</v>
      </c>
      <c r="XBT6" s="108" t="s">
        <v>70</v>
      </c>
      <c r="XBU6" s="108" t="s">
        <v>71</v>
      </c>
      <c r="XBV6" s="108" t="s">
        <v>37</v>
      </c>
      <c r="XBZ6" s="109" t="s">
        <v>139</v>
      </c>
      <c r="XCA6" s="109" t="s">
        <v>140</v>
      </c>
      <c r="XCV6" s="107" t="s">
        <v>61</v>
      </c>
      <c r="XCW6" s="108" t="s">
        <v>2</v>
      </c>
      <c r="XCX6" s="108" t="s">
        <v>3</v>
      </c>
      <c r="XCY6" s="108" t="s">
        <v>4</v>
      </c>
      <c r="XCZ6" s="108" t="s">
        <v>70</v>
      </c>
      <c r="XDA6" s="108" t="s">
        <v>71</v>
      </c>
      <c r="XDB6" s="108" t="s">
        <v>37</v>
      </c>
      <c r="XDF6" s="109" t="s">
        <v>139</v>
      </c>
      <c r="XDG6" s="109" t="s">
        <v>140</v>
      </c>
      <c r="XEB6" s="107" t="s">
        <v>61</v>
      </c>
      <c r="XEC6" s="108" t="s">
        <v>2</v>
      </c>
      <c r="XED6" s="108" t="s">
        <v>3</v>
      </c>
      <c r="XEE6" s="108" t="s">
        <v>4</v>
      </c>
      <c r="XEF6" s="108" t="s">
        <v>70</v>
      </c>
      <c r="XEG6" s="108" t="s">
        <v>71</v>
      </c>
      <c r="XEH6" s="108" t="s">
        <v>37</v>
      </c>
      <c r="XEL6" s="109" t="s">
        <v>139</v>
      </c>
      <c r="XEM6" s="109" t="s">
        <v>140</v>
      </c>
    </row>
    <row r="7" spans="2:1007 1026:2031 2050:3055 3074:4079 4098:5103 5122:6127 6146:7151 7170:8175 8194:9199 9218:10223 10242:11247 11266:12271 12290:13295 13314:14319 14338:15343 15362:16367" s="94" customFormat="1" ht="16.3" thickBot="1">
      <c r="D7" s="110" t="s">
        <v>140</v>
      </c>
      <c r="E7" s="111">
        <v>3.4</v>
      </c>
      <c r="F7" s="111">
        <v>2.8</v>
      </c>
      <c r="G7" s="111">
        <v>2.1</v>
      </c>
      <c r="H7" s="111">
        <v>1.9</v>
      </c>
      <c r="I7" s="111">
        <v>2.5</v>
      </c>
      <c r="J7" s="111">
        <v>3.9</v>
      </c>
      <c r="L7" s="112"/>
      <c r="M7" s="112"/>
      <c r="N7" s="112"/>
      <c r="O7" s="112"/>
      <c r="P7" s="112"/>
      <c r="Q7" s="112"/>
      <c r="AJ7" s="110" t="s">
        <v>140</v>
      </c>
      <c r="AK7" s="111">
        <v>3.4</v>
      </c>
      <c r="AL7" s="111">
        <v>2.8</v>
      </c>
      <c r="AM7" s="111">
        <v>2.1</v>
      </c>
      <c r="AN7" s="111">
        <v>1.9</v>
      </c>
      <c r="AO7" s="111">
        <v>2.5</v>
      </c>
      <c r="AP7" s="111">
        <v>3.9</v>
      </c>
      <c r="AT7" s="93">
        <v>3.1</v>
      </c>
      <c r="AU7" s="93">
        <v>3.4</v>
      </c>
      <c r="BP7" s="110" t="s">
        <v>140</v>
      </c>
      <c r="BQ7" s="111">
        <v>3.4</v>
      </c>
      <c r="BR7" s="111">
        <v>2.8</v>
      </c>
      <c r="BS7" s="111">
        <v>2.1</v>
      </c>
      <c r="BT7" s="111">
        <v>1.9</v>
      </c>
      <c r="BU7" s="111">
        <v>2.5</v>
      </c>
      <c r="BV7" s="111">
        <v>3.9</v>
      </c>
      <c r="BZ7" s="93">
        <v>3.1</v>
      </c>
      <c r="CA7" s="93">
        <v>3.4</v>
      </c>
      <c r="CV7" s="110" t="s">
        <v>140</v>
      </c>
      <c r="CW7" s="111">
        <v>3.4</v>
      </c>
      <c r="CX7" s="111">
        <v>2.8</v>
      </c>
      <c r="CY7" s="111">
        <v>2.1</v>
      </c>
      <c r="CZ7" s="111">
        <v>1.9</v>
      </c>
      <c r="DA7" s="111">
        <v>2.5</v>
      </c>
      <c r="DB7" s="111">
        <v>3.9</v>
      </c>
      <c r="DF7" s="93">
        <v>3.1</v>
      </c>
      <c r="DG7" s="93">
        <v>3.4</v>
      </c>
      <c r="EB7" s="110" t="s">
        <v>140</v>
      </c>
      <c r="EC7" s="111">
        <v>3.4</v>
      </c>
      <c r="ED7" s="111">
        <v>2.8</v>
      </c>
      <c r="EE7" s="111">
        <v>2.1</v>
      </c>
      <c r="EF7" s="111">
        <v>1.9</v>
      </c>
      <c r="EG7" s="111">
        <v>2.5</v>
      </c>
      <c r="EH7" s="111">
        <v>3.9</v>
      </c>
      <c r="EL7" s="93">
        <v>3.1</v>
      </c>
      <c r="EM7" s="93">
        <v>3.4</v>
      </c>
      <c r="FH7" s="110" t="s">
        <v>140</v>
      </c>
      <c r="FI7" s="111">
        <v>3.4</v>
      </c>
      <c r="FJ7" s="111">
        <v>2.8</v>
      </c>
      <c r="FK7" s="111">
        <v>2.1</v>
      </c>
      <c r="FL7" s="111">
        <v>1.9</v>
      </c>
      <c r="FM7" s="111">
        <v>2.5</v>
      </c>
      <c r="FN7" s="111">
        <v>3.9</v>
      </c>
      <c r="FR7" s="93">
        <v>3.1</v>
      </c>
      <c r="FS7" s="93">
        <v>3.4</v>
      </c>
      <c r="GN7" s="110" t="s">
        <v>140</v>
      </c>
      <c r="GO7" s="111">
        <v>3.4</v>
      </c>
      <c r="GP7" s="111">
        <v>2.8</v>
      </c>
      <c r="GQ7" s="111">
        <v>2.1</v>
      </c>
      <c r="GR7" s="111">
        <v>1.9</v>
      </c>
      <c r="GS7" s="111">
        <v>2.5</v>
      </c>
      <c r="GT7" s="111">
        <v>3.9</v>
      </c>
      <c r="GX7" s="93">
        <v>3.1</v>
      </c>
      <c r="GY7" s="93">
        <v>3.4</v>
      </c>
      <c r="HT7" s="110" t="s">
        <v>140</v>
      </c>
      <c r="HU7" s="111">
        <v>3.4</v>
      </c>
      <c r="HV7" s="111">
        <v>2.8</v>
      </c>
      <c r="HW7" s="111">
        <v>2.1</v>
      </c>
      <c r="HX7" s="111">
        <v>1.9</v>
      </c>
      <c r="HY7" s="111">
        <v>2.5</v>
      </c>
      <c r="HZ7" s="111">
        <v>3.9</v>
      </c>
      <c r="ID7" s="93">
        <v>3.1</v>
      </c>
      <c r="IE7" s="93">
        <v>3.4</v>
      </c>
      <c r="IZ7" s="110" t="s">
        <v>140</v>
      </c>
      <c r="JA7" s="111">
        <v>3.4</v>
      </c>
      <c r="JB7" s="111">
        <v>2.8</v>
      </c>
      <c r="JC7" s="111">
        <v>2.1</v>
      </c>
      <c r="JD7" s="111">
        <v>1.9</v>
      </c>
      <c r="JE7" s="111">
        <v>2.5</v>
      </c>
      <c r="JF7" s="111">
        <v>3.9</v>
      </c>
      <c r="JJ7" s="93">
        <v>3.1</v>
      </c>
      <c r="JK7" s="93">
        <v>3.4</v>
      </c>
      <c r="KF7" s="110" t="s">
        <v>140</v>
      </c>
      <c r="KG7" s="111">
        <v>3.4</v>
      </c>
      <c r="KH7" s="111">
        <v>2.8</v>
      </c>
      <c r="KI7" s="111">
        <v>2.1</v>
      </c>
      <c r="KJ7" s="111">
        <v>1.9</v>
      </c>
      <c r="KK7" s="111">
        <v>2.5</v>
      </c>
      <c r="KL7" s="111">
        <v>3.9</v>
      </c>
      <c r="KP7" s="93">
        <v>3.1</v>
      </c>
      <c r="KQ7" s="93">
        <v>3.4</v>
      </c>
      <c r="LL7" s="110" t="s">
        <v>140</v>
      </c>
      <c r="LM7" s="111">
        <v>3.4</v>
      </c>
      <c r="LN7" s="111">
        <v>2.8</v>
      </c>
      <c r="LO7" s="111">
        <v>2.1</v>
      </c>
      <c r="LP7" s="111">
        <v>1.9</v>
      </c>
      <c r="LQ7" s="111">
        <v>2.5</v>
      </c>
      <c r="LR7" s="111">
        <v>3.9</v>
      </c>
      <c r="LV7" s="93">
        <v>3.1</v>
      </c>
      <c r="LW7" s="93">
        <v>3.4</v>
      </c>
      <c r="MR7" s="110" t="s">
        <v>140</v>
      </c>
      <c r="MS7" s="111">
        <v>3.4</v>
      </c>
      <c r="MT7" s="111">
        <v>2.8</v>
      </c>
      <c r="MU7" s="111">
        <v>2.1</v>
      </c>
      <c r="MV7" s="111">
        <v>1.9</v>
      </c>
      <c r="MW7" s="111">
        <v>2.5</v>
      </c>
      <c r="MX7" s="111">
        <v>3.9</v>
      </c>
      <c r="NB7" s="93">
        <v>3.1</v>
      </c>
      <c r="NC7" s="93">
        <v>3.4</v>
      </c>
      <c r="NX7" s="110" t="s">
        <v>140</v>
      </c>
      <c r="NY7" s="111">
        <v>3.4</v>
      </c>
      <c r="NZ7" s="111">
        <v>2.8</v>
      </c>
      <c r="OA7" s="111">
        <v>2.1</v>
      </c>
      <c r="OB7" s="111">
        <v>1.9</v>
      </c>
      <c r="OC7" s="111">
        <v>2.5</v>
      </c>
      <c r="OD7" s="111">
        <v>3.9</v>
      </c>
      <c r="OH7" s="93">
        <v>3.1</v>
      </c>
      <c r="OI7" s="93">
        <v>3.4</v>
      </c>
      <c r="PD7" s="110" t="s">
        <v>140</v>
      </c>
      <c r="PE7" s="111">
        <v>3.4</v>
      </c>
      <c r="PF7" s="111">
        <v>2.8</v>
      </c>
      <c r="PG7" s="111">
        <v>2.1</v>
      </c>
      <c r="PH7" s="111">
        <v>1.9</v>
      </c>
      <c r="PI7" s="111">
        <v>2.5</v>
      </c>
      <c r="PJ7" s="111">
        <v>3.9</v>
      </c>
      <c r="PN7" s="93">
        <v>3.1</v>
      </c>
      <c r="PO7" s="93">
        <v>3.4</v>
      </c>
      <c r="QJ7" s="110" t="s">
        <v>140</v>
      </c>
      <c r="QK7" s="111">
        <v>3.4</v>
      </c>
      <c r="QL7" s="111">
        <v>2.8</v>
      </c>
      <c r="QM7" s="111">
        <v>2.1</v>
      </c>
      <c r="QN7" s="111">
        <v>1.9</v>
      </c>
      <c r="QO7" s="111">
        <v>2.5</v>
      </c>
      <c r="QP7" s="111">
        <v>3.9</v>
      </c>
      <c r="QT7" s="93">
        <v>3.1</v>
      </c>
      <c r="QU7" s="93">
        <v>3.4</v>
      </c>
      <c r="RP7" s="110" t="s">
        <v>140</v>
      </c>
      <c r="RQ7" s="111">
        <v>3.4</v>
      </c>
      <c r="RR7" s="111">
        <v>2.8</v>
      </c>
      <c r="RS7" s="111">
        <v>2.1</v>
      </c>
      <c r="RT7" s="111">
        <v>1.9</v>
      </c>
      <c r="RU7" s="111">
        <v>2.5</v>
      </c>
      <c r="RV7" s="111">
        <v>3.9</v>
      </c>
      <c r="RZ7" s="93">
        <v>3.1</v>
      </c>
      <c r="SA7" s="93">
        <v>3.4</v>
      </c>
      <c r="SV7" s="110" t="s">
        <v>140</v>
      </c>
      <c r="SW7" s="111">
        <v>3.4</v>
      </c>
      <c r="SX7" s="111">
        <v>2.8</v>
      </c>
      <c r="SY7" s="111">
        <v>2.1</v>
      </c>
      <c r="SZ7" s="111">
        <v>1.9</v>
      </c>
      <c r="TA7" s="111">
        <v>2.5</v>
      </c>
      <c r="TB7" s="111">
        <v>3.9</v>
      </c>
      <c r="TF7" s="93">
        <v>3.1</v>
      </c>
      <c r="TG7" s="93">
        <v>3.4</v>
      </c>
      <c r="UB7" s="110" t="s">
        <v>140</v>
      </c>
      <c r="UC7" s="111">
        <v>3.4</v>
      </c>
      <c r="UD7" s="111">
        <v>2.8</v>
      </c>
      <c r="UE7" s="111">
        <v>2.1</v>
      </c>
      <c r="UF7" s="111">
        <v>1.9</v>
      </c>
      <c r="UG7" s="111">
        <v>2.5</v>
      </c>
      <c r="UH7" s="111">
        <v>3.9</v>
      </c>
      <c r="UL7" s="93">
        <v>3.1</v>
      </c>
      <c r="UM7" s="93">
        <v>3.4</v>
      </c>
      <c r="VH7" s="110" t="s">
        <v>140</v>
      </c>
      <c r="VI7" s="111">
        <v>3.4</v>
      </c>
      <c r="VJ7" s="111">
        <v>2.8</v>
      </c>
      <c r="VK7" s="111">
        <v>2.1</v>
      </c>
      <c r="VL7" s="111">
        <v>1.9</v>
      </c>
      <c r="VM7" s="111">
        <v>2.5</v>
      </c>
      <c r="VN7" s="111">
        <v>3.9</v>
      </c>
      <c r="VR7" s="93">
        <v>3.1</v>
      </c>
      <c r="VS7" s="93">
        <v>3.4</v>
      </c>
      <c r="WN7" s="110" t="s">
        <v>140</v>
      </c>
      <c r="WO7" s="111">
        <v>3.4</v>
      </c>
      <c r="WP7" s="111">
        <v>2.8</v>
      </c>
      <c r="WQ7" s="111">
        <v>2.1</v>
      </c>
      <c r="WR7" s="111">
        <v>1.9</v>
      </c>
      <c r="WS7" s="111">
        <v>2.5</v>
      </c>
      <c r="WT7" s="111">
        <v>3.9</v>
      </c>
      <c r="WX7" s="93">
        <v>3.1</v>
      </c>
      <c r="WY7" s="93">
        <v>3.4</v>
      </c>
      <c r="XT7" s="110" t="s">
        <v>140</v>
      </c>
      <c r="XU7" s="111">
        <v>3.4</v>
      </c>
      <c r="XV7" s="111">
        <v>2.8</v>
      </c>
      <c r="XW7" s="111">
        <v>2.1</v>
      </c>
      <c r="XX7" s="111">
        <v>1.9</v>
      </c>
      <c r="XY7" s="111">
        <v>2.5</v>
      </c>
      <c r="XZ7" s="111">
        <v>3.9</v>
      </c>
      <c r="YD7" s="93">
        <v>3.1</v>
      </c>
      <c r="YE7" s="93">
        <v>3.4</v>
      </c>
      <c r="YZ7" s="110" t="s">
        <v>140</v>
      </c>
      <c r="ZA7" s="111">
        <v>3.4</v>
      </c>
      <c r="ZB7" s="111">
        <v>2.8</v>
      </c>
      <c r="ZC7" s="111">
        <v>2.1</v>
      </c>
      <c r="ZD7" s="111">
        <v>1.9</v>
      </c>
      <c r="ZE7" s="111">
        <v>2.5</v>
      </c>
      <c r="ZF7" s="111">
        <v>3.9</v>
      </c>
      <c r="ZJ7" s="93">
        <v>3.1</v>
      </c>
      <c r="ZK7" s="93">
        <v>3.4</v>
      </c>
      <c r="AAF7" s="110" t="s">
        <v>140</v>
      </c>
      <c r="AAG7" s="111">
        <v>3.4</v>
      </c>
      <c r="AAH7" s="111">
        <v>2.8</v>
      </c>
      <c r="AAI7" s="111">
        <v>2.1</v>
      </c>
      <c r="AAJ7" s="111">
        <v>1.9</v>
      </c>
      <c r="AAK7" s="111">
        <v>2.5</v>
      </c>
      <c r="AAL7" s="111">
        <v>3.9</v>
      </c>
      <c r="AAP7" s="93">
        <v>3.1</v>
      </c>
      <c r="AAQ7" s="93">
        <v>3.4</v>
      </c>
      <c r="ABL7" s="110" t="s">
        <v>140</v>
      </c>
      <c r="ABM7" s="111">
        <v>3.4</v>
      </c>
      <c r="ABN7" s="111">
        <v>2.8</v>
      </c>
      <c r="ABO7" s="111">
        <v>2.1</v>
      </c>
      <c r="ABP7" s="111">
        <v>1.9</v>
      </c>
      <c r="ABQ7" s="111">
        <v>2.5</v>
      </c>
      <c r="ABR7" s="111">
        <v>3.9</v>
      </c>
      <c r="ABV7" s="93">
        <v>3.1</v>
      </c>
      <c r="ABW7" s="93">
        <v>3.4</v>
      </c>
      <c r="ACR7" s="110" t="s">
        <v>140</v>
      </c>
      <c r="ACS7" s="111">
        <v>3.4</v>
      </c>
      <c r="ACT7" s="111">
        <v>2.8</v>
      </c>
      <c r="ACU7" s="111">
        <v>2.1</v>
      </c>
      <c r="ACV7" s="111">
        <v>1.9</v>
      </c>
      <c r="ACW7" s="111">
        <v>2.5</v>
      </c>
      <c r="ACX7" s="111">
        <v>3.9</v>
      </c>
      <c r="ADB7" s="93">
        <v>3.1</v>
      </c>
      <c r="ADC7" s="93">
        <v>3.4</v>
      </c>
      <c r="ADX7" s="110" t="s">
        <v>140</v>
      </c>
      <c r="ADY7" s="111">
        <v>3.4</v>
      </c>
      <c r="ADZ7" s="111">
        <v>2.8</v>
      </c>
      <c r="AEA7" s="111">
        <v>2.1</v>
      </c>
      <c r="AEB7" s="111">
        <v>1.9</v>
      </c>
      <c r="AEC7" s="111">
        <v>2.5</v>
      </c>
      <c r="AED7" s="111">
        <v>3.9</v>
      </c>
      <c r="AEH7" s="93">
        <v>3.1</v>
      </c>
      <c r="AEI7" s="93">
        <v>3.4</v>
      </c>
      <c r="AFD7" s="110" t="s">
        <v>140</v>
      </c>
      <c r="AFE7" s="111">
        <v>3.4</v>
      </c>
      <c r="AFF7" s="111">
        <v>2.8</v>
      </c>
      <c r="AFG7" s="111">
        <v>2.1</v>
      </c>
      <c r="AFH7" s="111">
        <v>1.9</v>
      </c>
      <c r="AFI7" s="111">
        <v>2.5</v>
      </c>
      <c r="AFJ7" s="111">
        <v>3.9</v>
      </c>
      <c r="AFN7" s="93">
        <v>3.1</v>
      </c>
      <c r="AFO7" s="93">
        <v>3.4</v>
      </c>
      <c r="AGJ7" s="110" t="s">
        <v>140</v>
      </c>
      <c r="AGK7" s="111">
        <v>3.4</v>
      </c>
      <c r="AGL7" s="111">
        <v>2.8</v>
      </c>
      <c r="AGM7" s="111">
        <v>2.1</v>
      </c>
      <c r="AGN7" s="111">
        <v>1.9</v>
      </c>
      <c r="AGO7" s="111">
        <v>2.5</v>
      </c>
      <c r="AGP7" s="111">
        <v>3.9</v>
      </c>
      <c r="AGT7" s="93">
        <v>3.1</v>
      </c>
      <c r="AGU7" s="93">
        <v>3.4</v>
      </c>
      <c r="AHP7" s="110" t="s">
        <v>140</v>
      </c>
      <c r="AHQ7" s="111">
        <v>3.4</v>
      </c>
      <c r="AHR7" s="111">
        <v>2.8</v>
      </c>
      <c r="AHS7" s="111">
        <v>2.1</v>
      </c>
      <c r="AHT7" s="111">
        <v>1.9</v>
      </c>
      <c r="AHU7" s="111">
        <v>2.5</v>
      </c>
      <c r="AHV7" s="111">
        <v>3.9</v>
      </c>
      <c r="AHZ7" s="93">
        <v>3.1</v>
      </c>
      <c r="AIA7" s="93">
        <v>3.4</v>
      </c>
      <c r="AIV7" s="110" t="s">
        <v>140</v>
      </c>
      <c r="AIW7" s="111">
        <v>3.4</v>
      </c>
      <c r="AIX7" s="111">
        <v>2.8</v>
      </c>
      <c r="AIY7" s="111">
        <v>2.1</v>
      </c>
      <c r="AIZ7" s="111">
        <v>1.9</v>
      </c>
      <c r="AJA7" s="111">
        <v>2.5</v>
      </c>
      <c r="AJB7" s="111">
        <v>3.9</v>
      </c>
      <c r="AJF7" s="93">
        <v>3.1</v>
      </c>
      <c r="AJG7" s="93">
        <v>3.4</v>
      </c>
      <c r="AKB7" s="110" t="s">
        <v>140</v>
      </c>
      <c r="AKC7" s="111">
        <v>3.4</v>
      </c>
      <c r="AKD7" s="111">
        <v>2.8</v>
      </c>
      <c r="AKE7" s="111">
        <v>2.1</v>
      </c>
      <c r="AKF7" s="111">
        <v>1.9</v>
      </c>
      <c r="AKG7" s="111">
        <v>2.5</v>
      </c>
      <c r="AKH7" s="111">
        <v>3.9</v>
      </c>
      <c r="AKL7" s="93">
        <v>3.1</v>
      </c>
      <c r="AKM7" s="93">
        <v>3.4</v>
      </c>
      <c r="ALH7" s="110" t="s">
        <v>140</v>
      </c>
      <c r="ALI7" s="111">
        <v>3.4</v>
      </c>
      <c r="ALJ7" s="111">
        <v>2.8</v>
      </c>
      <c r="ALK7" s="111">
        <v>2.1</v>
      </c>
      <c r="ALL7" s="111">
        <v>1.9</v>
      </c>
      <c r="ALM7" s="111">
        <v>2.5</v>
      </c>
      <c r="ALN7" s="111">
        <v>3.9</v>
      </c>
      <c r="ALR7" s="93">
        <v>3.1</v>
      </c>
      <c r="ALS7" s="93">
        <v>3.4</v>
      </c>
      <c r="AMN7" s="110" t="s">
        <v>140</v>
      </c>
      <c r="AMO7" s="111">
        <v>3.4</v>
      </c>
      <c r="AMP7" s="111">
        <v>2.8</v>
      </c>
      <c r="AMQ7" s="111">
        <v>2.1</v>
      </c>
      <c r="AMR7" s="111">
        <v>1.9</v>
      </c>
      <c r="AMS7" s="111">
        <v>2.5</v>
      </c>
      <c r="AMT7" s="111">
        <v>3.9</v>
      </c>
      <c r="AMX7" s="93">
        <v>3.1</v>
      </c>
      <c r="AMY7" s="93">
        <v>3.4</v>
      </c>
      <c r="ANT7" s="110" t="s">
        <v>140</v>
      </c>
      <c r="ANU7" s="111">
        <v>3.4</v>
      </c>
      <c r="ANV7" s="111">
        <v>2.8</v>
      </c>
      <c r="ANW7" s="111">
        <v>2.1</v>
      </c>
      <c r="ANX7" s="111">
        <v>1.9</v>
      </c>
      <c r="ANY7" s="111">
        <v>2.5</v>
      </c>
      <c r="ANZ7" s="111">
        <v>3.9</v>
      </c>
      <c r="AOD7" s="93">
        <v>3.1</v>
      </c>
      <c r="AOE7" s="93">
        <v>3.4</v>
      </c>
      <c r="AOZ7" s="110" t="s">
        <v>140</v>
      </c>
      <c r="APA7" s="111">
        <v>3.4</v>
      </c>
      <c r="APB7" s="111">
        <v>2.8</v>
      </c>
      <c r="APC7" s="111">
        <v>2.1</v>
      </c>
      <c r="APD7" s="111">
        <v>1.9</v>
      </c>
      <c r="APE7" s="111">
        <v>2.5</v>
      </c>
      <c r="APF7" s="111">
        <v>3.9</v>
      </c>
      <c r="APJ7" s="93">
        <v>3.1</v>
      </c>
      <c r="APK7" s="93">
        <v>3.4</v>
      </c>
      <c r="AQF7" s="110" t="s">
        <v>140</v>
      </c>
      <c r="AQG7" s="111">
        <v>3.4</v>
      </c>
      <c r="AQH7" s="111">
        <v>2.8</v>
      </c>
      <c r="AQI7" s="111">
        <v>2.1</v>
      </c>
      <c r="AQJ7" s="111">
        <v>1.9</v>
      </c>
      <c r="AQK7" s="111">
        <v>2.5</v>
      </c>
      <c r="AQL7" s="111">
        <v>3.9</v>
      </c>
      <c r="AQP7" s="93">
        <v>3.1</v>
      </c>
      <c r="AQQ7" s="93">
        <v>3.4</v>
      </c>
      <c r="ARL7" s="110" t="s">
        <v>140</v>
      </c>
      <c r="ARM7" s="111">
        <v>3.4</v>
      </c>
      <c r="ARN7" s="111">
        <v>2.8</v>
      </c>
      <c r="ARO7" s="111">
        <v>2.1</v>
      </c>
      <c r="ARP7" s="111">
        <v>1.9</v>
      </c>
      <c r="ARQ7" s="111">
        <v>2.5</v>
      </c>
      <c r="ARR7" s="111">
        <v>3.9</v>
      </c>
      <c r="ARV7" s="93">
        <v>3.1</v>
      </c>
      <c r="ARW7" s="93">
        <v>3.4</v>
      </c>
      <c r="ASR7" s="110" t="s">
        <v>140</v>
      </c>
      <c r="ASS7" s="111">
        <v>3.4</v>
      </c>
      <c r="AST7" s="111">
        <v>2.8</v>
      </c>
      <c r="ASU7" s="111">
        <v>2.1</v>
      </c>
      <c r="ASV7" s="111">
        <v>1.9</v>
      </c>
      <c r="ASW7" s="111">
        <v>2.5</v>
      </c>
      <c r="ASX7" s="111">
        <v>3.9</v>
      </c>
      <c r="ATB7" s="93">
        <v>3.1</v>
      </c>
      <c r="ATC7" s="93">
        <v>3.4</v>
      </c>
      <c r="ATX7" s="110" t="s">
        <v>140</v>
      </c>
      <c r="ATY7" s="111">
        <v>3.4</v>
      </c>
      <c r="ATZ7" s="111">
        <v>2.8</v>
      </c>
      <c r="AUA7" s="111">
        <v>2.1</v>
      </c>
      <c r="AUB7" s="111">
        <v>1.9</v>
      </c>
      <c r="AUC7" s="111">
        <v>2.5</v>
      </c>
      <c r="AUD7" s="111">
        <v>3.9</v>
      </c>
      <c r="AUH7" s="93">
        <v>3.1</v>
      </c>
      <c r="AUI7" s="93">
        <v>3.4</v>
      </c>
      <c r="AVD7" s="110" t="s">
        <v>140</v>
      </c>
      <c r="AVE7" s="111">
        <v>3.4</v>
      </c>
      <c r="AVF7" s="111">
        <v>2.8</v>
      </c>
      <c r="AVG7" s="111">
        <v>2.1</v>
      </c>
      <c r="AVH7" s="111">
        <v>1.9</v>
      </c>
      <c r="AVI7" s="111">
        <v>2.5</v>
      </c>
      <c r="AVJ7" s="111">
        <v>3.9</v>
      </c>
      <c r="AVN7" s="93">
        <v>3.1</v>
      </c>
      <c r="AVO7" s="93">
        <v>3.4</v>
      </c>
      <c r="AWJ7" s="110" t="s">
        <v>140</v>
      </c>
      <c r="AWK7" s="111">
        <v>3.4</v>
      </c>
      <c r="AWL7" s="111">
        <v>2.8</v>
      </c>
      <c r="AWM7" s="111">
        <v>2.1</v>
      </c>
      <c r="AWN7" s="111">
        <v>1.9</v>
      </c>
      <c r="AWO7" s="111">
        <v>2.5</v>
      </c>
      <c r="AWP7" s="111">
        <v>3.9</v>
      </c>
      <c r="AWT7" s="93">
        <v>3.1</v>
      </c>
      <c r="AWU7" s="93">
        <v>3.4</v>
      </c>
      <c r="AXP7" s="110" t="s">
        <v>140</v>
      </c>
      <c r="AXQ7" s="111">
        <v>3.4</v>
      </c>
      <c r="AXR7" s="111">
        <v>2.8</v>
      </c>
      <c r="AXS7" s="111">
        <v>2.1</v>
      </c>
      <c r="AXT7" s="111">
        <v>1.9</v>
      </c>
      <c r="AXU7" s="111">
        <v>2.5</v>
      </c>
      <c r="AXV7" s="111">
        <v>3.9</v>
      </c>
      <c r="AXZ7" s="93">
        <v>3.1</v>
      </c>
      <c r="AYA7" s="93">
        <v>3.4</v>
      </c>
      <c r="AYV7" s="110" t="s">
        <v>140</v>
      </c>
      <c r="AYW7" s="111">
        <v>3.4</v>
      </c>
      <c r="AYX7" s="111">
        <v>2.8</v>
      </c>
      <c r="AYY7" s="111">
        <v>2.1</v>
      </c>
      <c r="AYZ7" s="111">
        <v>1.9</v>
      </c>
      <c r="AZA7" s="111">
        <v>2.5</v>
      </c>
      <c r="AZB7" s="111">
        <v>3.9</v>
      </c>
      <c r="AZF7" s="93">
        <v>3.1</v>
      </c>
      <c r="AZG7" s="93">
        <v>3.4</v>
      </c>
      <c r="BAB7" s="110" t="s">
        <v>140</v>
      </c>
      <c r="BAC7" s="111">
        <v>3.4</v>
      </c>
      <c r="BAD7" s="111">
        <v>2.8</v>
      </c>
      <c r="BAE7" s="111">
        <v>2.1</v>
      </c>
      <c r="BAF7" s="111">
        <v>1.9</v>
      </c>
      <c r="BAG7" s="111">
        <v>2.5</v>
      </c>
      <c r="BAH7" s="111">
        <v>3.9</v>
      </c>
      <c r="BAL7" s="93">
        <v>3.1</v>
      </c>
      <c r="BAM7" s="93">
        <v>3.4</v>
      </c>
      <c r="BBH7" s="110" t="s">
        <v>140</v>
      </c>
      <c r="BBI7" s="111">
        <v>3.4</v>
      </c>
      <c r="BBJ7" s="111">
        <v>2.8</v>
      </c>
      <c r="BBK7" s="111">
        <v>2.1</v>
      </c>
      <c r="BBL7" s="111">
        <v>1.9</v>
      </c>
      <c r="BBM7" s="111">
        <v>2.5</v>
      </c>
      <c r="BBN7" s="111">
        <v>3.9</v>
      </c>
      <c r="BBR7" s="93">
        <v>3.1</v>
      </c>
      <c r="BBS7" s="93">
        <v>3.4</v>
      </c>
      <c r="BCN7" s="110" t="s">
        <v>140</v>
      </c>
      <c r="BCO7" s="111">
        <v>3.4</v>
      </c>
      <c r="BCP7" s="111">
        <v>2.8</v>
      </c>
      <c r="BCQ7" s="111">
        <v>2.1</v>
      </c>
      <c r="BCR7" s="111">
        <v>1.9</v>
      </c>
      <c r="BCS7" s="111">
        <v>2.5</v>
      </c>
      <c r="BCT7" s="111">
        <v>3.9</v>
      </c>
      <c r="BCX7" s="93">
        <v>3.1</v>
      </c>
      <c r="BCY7" s="93">
        <v>3.4</v>
      </c>
      <c r="BDT7" s="110" t="s">
        <v>140</v>
      </c>
      <c r="BDU7" s="111">
        <v>3.4</v>
      </c>
      <c r="BDV7" s="111">
        <v>2.8</v>
      </c>
      <c r="BDW7" s="111">
        <v>2.1</v>
      </c>
      <c r="BDX7" s="111">
        <v>1.9</v>
      </c>
      <c r="BDY7" s="111">
        <v>2.5</v>
      </c>
      <c r="BDZ7" s="111">
        <v>3.9</v>
      </c>
      <c r="BED7" s="93">
        <v>3.1</v>
      </c>
      <c r="BEE7" s="93">
        <v>3.4</v>
      </c>
      <c r="BEZ7" s="110" t="s">
        <v>140</v>
      </c>
      <c r="BFA7" s="111">
        <v>3.4</v>
      </c>
      <c r="BFB7" s="111">
        <v>2.8</v>
      </c>
      <c r="BFC7" s="111">
        <v>2.1</v>
      </c>
      <c r="BFD7" s="111">
        <v>1.9</v>
      </c>
      <c r="BFE7" s="111">
        <v>2.5</v>
      </c>
      <c r="BFF7" s="111">
        <v>3.9</v>
      </c>
      <c r="BFJ7" s="93">
        <v>3.1</v>
      </c>
      <c r="BFK7" s="93">
        <v>3.4</v>
      </c>
      <c r="BGF7" s="110" t="s">
        <v>140</v>
      </c>
      <c r="BGG7" s="111">
        <v>3.4</v>
      </c>
      <c r="BGH7" s="111">
        <v>2.8</v>
      </c>
      <c r="BGI7" s="111">
        <v>2.1</v>
      </c>
      <c r="BGJ7" s="111">
        <v>1.9</v>
      </c>
      <c r="BGK7" s="111">
        <v>2.5</v>
      </c>
      <c r="BGL7" s="111">
        <v>3.9</v>
      </c>
      <c r="BGP7" s="93">
        <v>3.1</v>
      </c>
      <c r="BGQ7" s="93">
        <v>3.4</v>
      </c>
      <c r="BHL7" s="110" t="s">
        <v>140</v>
      </c>
      <c r="BHM7" s="111">
        <v>3.4</v>
      </c>
      <c r="BHN7" s="111">
        <v>2.8</v>
      </c>
      <c r="BHO7" s="111">
        <v>2.1</v>
      </c>
      <c r="BHP7" s="111">
        <v>1.9</v>
      </c>
      <c r="BHQ7" s="111">
        <v>2.5</v>
      </c>
      <c r="BHR7" s="111">
        <v>3.9</v>
      </c>
      <c r="BHV7" s="93">
        <v>3.1</v>
      </c>
      <c r="BHW7" s="93">
        <v>3.4</v>
      </c>
      <c r="BIR7" s="110" t="s">
        <v>140</v>
      </c>
      <c r="BIS7" s="111">
        <v>3.4</v>
      </c>
      <c r="BIT7" s="111">
        <v>2.8</v>
      </c>
      <c r="BIU7" s="111">
        <v>2.1</v>
      </c>
      <c r="BIV7" s="111">
        <v>1.9</v>
      </c>
      <c r="BIW7" s="111">
        <v>2.5</v>
      </c>
      <c r="BIX7" s="111">
        <v>3.9</v>
      </c>
      <c r="BJB7" s="93">
        <v>3.1</v>
      </c>
      <c r="BJC7" s="93">
        <v>3.4</v>
      </c>
      <c r="BJX7" s="110" t="s">
        <v>140</v>
      </c>
      <c r="BJY7" s="111">
        <v>3.4</v>
      </c>
      <c r="BJZ7" s="111">
        <v>2.8</v>
      </c>
      <c r="BKA7" s="111">
        <v>2.1</v>
      </c>
      <c r="BKB7" s="111">
        <v>1.9</v>
      </c>
      <c r="BKC7" s="111">
        <v>2.5</v>
      </c>
      <c r="BKD7" s="111">
        <v>3.9</v>
      </c>
      <c r="BKH7" s="93">
        <v>3.1</v>
      </c>
      <c r="BKI7" s="93">
        <v>3.4</v>
      </c>
      <c r="BLD7" s="110" t="s">
        <v>140</v>
      </c>
      <c r="BLE7" s="111">
        <v>3.4</v>
      </c>
      <c r="BLF7" s="111">
        <v>2.8</v>
      </c>
      <c r="BLG7" s="111">
        <v>2.1</v>
      </c>
      <c r="BLH7" s="111">
        <v>1.9</v>
      </c>
      <c r="BLI7" s="111">
        <v>2.5</v>
      </c>
      <c r="BLJ7" s="111">
        <v>3.9</v>
      </c>
      <c r="BLN7" s="93">
        <v>3.1</v>
      </c>
      <c r="BLO7" s="93">
        <v>3.4</v>
      </c>
      <c r="BMJ7" s="110" t="s">
        <v>140</v>
      </c>
      <c r="BMK7" s="111">
        <v>3.4</v>
      </c>
      <c r="BML7" s="111">
        <v>2.8</v>
      </c>
      <c r="BMM7" s="111">
        <v>2.1</v>
      </c>
      <c r="BMN7" s="111">
        <v>1.9</v>
      </c>
      <c r="BMO7" s="111">
        <v>2.5</v>
      </c>
      <c r="BMP7" s="111">
        <v>3.9</v>
      </c>
      <c r="BMT7" s="93">
        <v>3.1</v>
      </c>
      <c r="BMU7" s="93">
        <v>3.4</v>
      </c>
      <c r="BNP7" s="110" t="s">
        <v>140</v>
      </c>
      <c r="BNQ7" s="111">
        <v>3.4</v>
      </c>
      <c r="BNR7" s="111">
        <v>2.8</v>
      </c>
      <c r="BNS7" s="111">
        <v>2.1</v>
      </c>
      <c r="BNT7" s="111">
        <v>1.9</v>
      </c>
      <c r="BNU7" s="111">
        <v>2.5</v>
      </c>
      <c r="BNV7" s="111">
        <v>3.9</v>
      </c>
      <c r="BNZ7" s="93">
        <v>3.1</v>
      </c>
      <c r="BOA7" s="93">
        <v>3.4</v>
      </c>
      <c r="BOV7" s="110" t="s">
        <v>140</v>
      </c>
      <c r="BOW7" s="111">
        <v>3.4</v>
      </c>
      <c r="BOX7" s="111">
        <v>2.8</v>
      </c>
      <c r="BOY7" s="111">
        <v>2.1</v>
      </c>
      <c r="BOZ7" s="111">
        <v>1.9</v>
      </c>
      <c r="BPA7" s="111">
        <v>2.5</v>
      </c>
      <c r="BPB7" s="111">
        <v>3.9</v>
      </c>
      <c r="BPF7" s="93">
        <v>3.1</v>
      </c>
      <c r="BPG7" s="93">
        <v>3.4</v>
      </c>
      <c r="BQB7" s="110" t="s">
        <v>140</v>
      </c>
      <c r="BQC7" s="111">
        <v>3.4</v>
      </c>
      <c r="BQD7" s="111">
        <v>2.8</v>
      </c>
      <c r="BQE7" s="111">
        <v>2.1</v>
      </c>
      <c r="BQF7" s="111">
        <v>1.9</v>
      </c>
      <c r="BQG7" s="111">
        <v>2.5</v>
      </c>
      <c r="BQH7" s="111">
        <v>3.9</v>
      </c>
      <c r="BQL7" s="93">
        <v>3.1</v>
      </c>
      <c r="BQM7" s="93">
        <v>3.4</v>
      </c>
      <c r="BRH7" s="110" t="s">
        <v>140</v>
      </c>
      <c r="BRI7" s="111">
        <v>3.4</v>
      </c>
      <c r="BRJ7" s="111">
        <v>2.8</v>
      </c>
      <c r="BRK7" s="111">
        <v>2.1</v>
      </c>
      <c r="BRL7" s="111">
        <v>1.9</v>
      </c>
      <c r="BRM7" s="111">
        <v>2.5</v>
      </c>
      <c r="BRN7" s="111">
        <v>3.9</v>
      </c>
      <c r="BRR7" s="93">
        <v>3.1</v>
      </c>
      <c r="BRS7" s="93">
        <v>3.4</v>
      </c>
      <c r="BSN7" s="110" t="s">
        <v>140</v>
      </c>
      <c r="BSO7" s="111">
        <v>3.4</v>
      </c>
      <c r="BSP7" s="111">
        <v>2.8</v>
      </c>
      <c r="BSQ7" s="111">
        <v>2.1</v>
      </c>
      <c r="BSR7" s="111">
        <v>1.9</v>
      </c>
      <c r="BSS7" s="111">
        <v>2.5</v>
      </c>
      <c r="BST7" s="111">
        <v>3.9</v>
      </c>
      <c r="BSX7" s="93">
        <v>3.1</v>
      </c>
      <c r="BSY7" s="93">
        <v>3.4</v>
      </c>
      <c r="BTT7" s="110" t="s">
        <v>140</v>
      </c>
      <c r="BTU7" s="111">
        <v>3.4</v>
      </c>
      <c r="BTV7" s="111">
        <v>2.8</v>
      </c>
      <c r="BTW7" s="111">
        <v>2.1</v>
      </c>
      <c r="BTX7" s="111">
        <v>1.9</v>
      </c>
      <c r="BTY7" s="111">
        <v>2.5</v>
      </c>
      <c r="BTZ7" s="111">
        <v>3.9</v>
      </c>
      <c r="BUD7" s="93">
        <v>3.1</v>
      </c>
      <c r="BUE7" s="93">
        <v>3.4</v>
      </c>
      <c r="BUZ7" s="110" t="s">
        <v>140</v>
      </c>
      <c r="BVA7" s="111">
        <v>3.4</v>
      </c>
      <c r="BVB7" s="111">
        <v>2.8</v>
      </c>
      <c r="BVC7" s="111">
        <v>2.1</v>
      </c>
      <c r="BVD7" s="111">
        <v>1.9</v>
      </c>
      <c r="BVE7" s="111">
        <v>2.5</v>
      </c>
      <c r="BVF7" s="111">
        <v>3.9</v>
      </c>
      <c r="BVJ7" s="93">
        <v>3.1</v>
      </c>
      <c r="BVK7" s="93">
        <v>3.4</v>
      </c>
      <c r="BWF7" s="110" t="s">
        <v>140</v>
      </c>
      <c r="BWG7" s="111">
        <v>3.4</v>
      </c>
      <c r="BWH7" s="111">
        <v>2.8</v>
      </c>
      <c r="BWI7" s="111">
        <v>2.1</v>
      </c>
      <c r="BWJ7" s="111">
        <v>1.9</v>
      </c>
      <c r="BWK7" s="111">
        <v>2.5</v>
      </c>
      <c r="BWL7" s="111">
        <v>3.9</v>
      </c>
      <c r="BWP7" s="93">
        <v>3.1</v>
      </c>
      <c r="BWQ7" s="93">
        <v>3.4</v>
      </c>
      <c r="BXL7" s="110" t="s">
        <v>140</v>
      </c>
      <c r="BXM7" s="111">
        <v>3.4</v>
      </c>
      <c r="BXN7" s="111">
        <v>2.8</v>
      </c>
      <c r="BXO7" s="111">
        <v>2.1</v>
      </c>
      <c r="BXP7" s="111">
        <v>1.9</v>
      </c>
      <c r="BXQ7" s="111">
        <v>2.5</v>
      </c>
      <c r="BXR7" s="111">
        <v>3.9</v>
      </c>
      <c r="BXV7" s="93">
        <v>3.1</v>
      </c>
      <c r="BXW7" s="93">
        <v>3.4</v>
      </c>
      <c r="BYR7" s="110" t="s">
        <v>140</v>
      </c>
      <c r="BYS7" s="111">
        <v>3.4</v>
      </c>
      <c r="BYT7" s="111">
        <v>2.8</v>
      </c>
      <c r="BYU7" s="111">
        <v>2.1</v>
      </c>
      <c r="BYV7" s="111">
        <v>1.9</v>
      </c>
      <c r="BYW7" s="111">
        <v>2.5</v>
      </c>
      <c r="BYX7" s="111">
        <v>3.9</v>
      </c>
      <c r="BZB7" s="93">
        <v>3.1</v>
      </c>
      <c r="BZC7" s="93">
        <v>3.4</v>
      </c>
      <c r="BZX7" s="110" t="s">
        <v>140</v>
      </c>
      <c r="BZY7" s="111">
        <v>3.4</v>
      </c>
      <c r="BZZ7" s="111">
        <v>2.8</v>
      </c>
      <c r="CAA7" s="111">
        <v>2.1</v>
      </c>
      <c r="CAB7" s="111">
        <v>1.9</v>
      </c>
      <c r="CAC7" s="111">
        <v>2.5</v>
      </c>
      <c r="CAD7" s="111">
        <v>3.9</v>
      </c>
      <c r="CAH7" s="93">
        <v>3.1</v>
      </c>
      <c r="CAI7" s="93">
        <v>3.4</v>
      </c>
      <c r="CBD7" s="110" t="s">
        <v>140</v>
      </c>
      <c r="CBE7" s="111">
        <v>3.4</v>
      </c>
      <c r="CBF7" s="111">
        <v>2.8</v>
      </c>
      <c r="CBG7" s="111">
        <v>2.1</v>
      </c>
      <c r="CBH7" s="111">
        <v>1.9</v>
      </c>
      <c r="CBI7" s="111">
        <v>2.5</v>
      </c>
      <c r="CBJ7" s="111">
        <v>3.9</v>
      </c>
      <c r="CBN7" s="93">
        <v>3.1</v>
      </c>
      <c r="CBO7" s="93">
        <v>3.4</v>
      </c>
      <c r="CCJ7" s="110" t="s">
        <v>140</v>
      </c>
      <c r="CCK7" s="111">
        <v>3.4</v>
      </c>
      <c r="CCL7" s="111">
        <v>2.8</v>
      </c>
      <c r="CCM7" s="111">
        <v>2.1</v>
      </c>
      <c r="CCN7" s="111">
        <v>1.9</v>
      </c>
      <c r="CCO7" s="111">
        <v>2.5</v>
      </c>
      <c r="CCP7" s="111">
        <v>3.9</v>
      </c>
      <c r="CCT7" s="93">
        <v>3.1</v>
      </c>
      <c r="CCU7" s="93">
        <v>3.4</v>
      </c>
      <c r="CDP7" s="110" t="s">
        <v>140</v>
      </c>
      <c r="CDQ7" s="111">
        <v>3.4</v>
      </c>
      <c r="CDR7" s="111">
        <v>2.8</v>
      </c>
      <c r="CDS7" s="111">
        <v>2.1</v>
      </c>
      <c r="CDT7" s="111">
        <v>1.9</v>
      </c>
      <c r="CDU7" s="111">
        <v>2.5</v>
      </c>
      <c r="CDV7" s="111">
        <v>3.9</v>
      </c>
      <c r="CDZ7" s="93">
        <v>3.1</v>
      </c>
      <c r="CEA7" s="93">
        <v>3.4</v>
      </c>
      <c r="CEV7" s="110" t="s">
        <v>140</v>
      </c>
      <c r="CEW7" s="111">
        <v>3.4</v>
      </c>
      <c r="CEX7" s="111">
        <v>2.8</v>
      </c>
      <c r="CEY7" s="111">
        <v>2.1</v>
      </c>
      <c r="CEZ7" s="111">
        <v>1.9</v>
      </c>
      <c r="CFA7" s="111">
        <v>2.5</v>
      </c>
      <c r="CFB7" s="111">
        <v>3.9</v>
      </c>
      <c r="CFF7" s="93">
        <v>3.1</v>
      </c>
      <c r="CFG7" s="93">
        <v>3.4</v>
      </c>
      <c r="CGB7" s="110" t="s">
        <v>140</v>
      </c>
      <c r="CGC7" s="111">
        <v>3.4</v>
      </c>
      <c r="CGD7" s="111">
        <v>2.8</v>
      </c>
      <c r="CGE7" s="111">
        <v>2.1</v>
      </c>
      <c r="CGF7" s="111">
        <v>1.9</v>
      </c>
      <c r="CGG7" s="111">
        <v>2.5</v>
      </c>
      <c r="CGH7" s="111">
        <v>3.9</v>
      </c>
      <c r="CGL7" s="93">
        <v>3.1</v>
      </c>
      <c r="CGM7" s="93">
        <v>3.4</v>
      </c>
      <c r="CHH7" s="110" t="s">
        <v>140</v>
      </c>
      <c r="CHI7" s="111">
        <v>3.4</v>
      </c>
      <c r="CHJ7" s="111">
        <v>2.8</v>
      </c>
      <c r="CHK7" s="111">
        <v>2.1</v>
      </c>
      <c r="CHL7" s="111">
        <v>1.9</v>
      </c>
      <c r="CHM7" s="111">
        <v>2.5</v>
      </c>
      <c r="CHN7" s="111">
        <v>3.9</v>
      </c>
      <c r="CHR7" s="93">
        <v>3.1</v>
      </c>
      <c r="CHS7" s="93">
        <v>3.4</v>
      </c>
      <c r="CIN7" s="110" t="s">
        <v>140</v>
      </c>
      <c r="CIO7" s="111">
        <v>3.4</v>
      </c>
      <c r="CIP7" s="111">
        <v>2.8</v>
      </c>
      <c r="CIQ7" s="111">
        <v>2.1</v>
      </c>
      <c r="CIR7" s="111">
        <v>1.9</v>
      </c>
      <c r="CIS7" s="111">
        <v>2.5</v>
      </c>
      <c r="CIT7" s="111">
        <v>3.9</v>
      </c>
      <c r="CIX7" s="93">
        <v>3.1</v>
      </c>
      <c r="CIY7" s="93">
        <v>3.4</v>
      </c>
      <c r="CJT7" s="110" t="s">
        <v>140</v>
      </c>
      <c r="CJU7" s="111">
        <v>3.4</v>
      </c>
      <c r="CJV7" s="111">
        <v>2.8</v>
      </c>
      <c r="CJW7" s="111">
        <v>2.1</v>
      </c>
      <c r="CJX7" s="111">
        <v>1.9</v>
      </c>
      <c r="CJY7" s="111">
        <v>2.5</v>
      </c>
      <c r="CJZ7" s="111">
        <v>3.9</v>
      </c>
      <c r="CKD7" s="93">
        <v>3.1</v>
      </c>
      <c r="CKE7" s="93">
        <v>3.4</v>
      </c>
      <c r="CKZ7" s="110" t="s">
        <v>140</v>
      </c>
      <c r="CLA7" s="111">
        <v>3.4</v>
      </c>
      <c r="CLB7" s="111">
        <v>2.8</v>
      </c>
      <c r="CLC7" s="111">
        <v>2.1</v>
      </c>
      <c r="CLD7" s="111">
        <v>1.9</v>
      </c>
      <c r="CLE7" s="111">
        <v>2.5</v>
      </c>
      <c r="CLF7" s="111">
        <v>3.9</v>
      </c>
      <c r="CLJ7" s="93">
        <v>3.1</v>
      </c>
      <c r="CLK7" s="93">
        <v>3.4</v>
      </c>
      <c r="CMF7" s="110" t="s">
        <v>140</v>
      </c>
      <c r="CMG7" s="111">
        <v>3.4</v>
      </c>
      <c r="CMH7" s="111">
        <v>2.8</v>
      </c>
      <c r="CMI7" s="111">
        <v>2.1</v>
      </c>
      <c r="CMJ7" s="111">
        <v>1.9</v>
      </c>
      <c r="CMK7" s="111">
        <v>2.5</v>
      </c>
      <c r="CML7" s="111">
        <v>3.9</v>
      </c>
      <c r="CMP7" s="93">
        <v>3.1</v>
      </c>
      <c r="CMQ7" s="93">
        <v>3.4</v>
      </c>
      <c r="CNL7" s="110" t="s">
        <v>140</v>
      </c>
      <c r="CNM7" s="111">
        <v>3.4</v>
      </c>
      <c r="CNN7" s="111">
        <v>2.8</v>
      </c>
      <c r="CNO7" s="111">
        <v>2.1</v>
      </c>
      <c r="CNP7" s="111">
        <v>1.9</v>
      </c>
      <c r="CNQ7" s="111">
        <v>2.5</v>
      </c>
      <c r="CNR7" s="111">
        <v>3.9</v>
      </c>
      <c r="CNV7" s="93">
        <v>3.1</v>
      </c>
      <c r="CNW7" s="93">
        <v>3.4</v>
      </c>
      <c r="COR7" s="110" t="s">
        <v>140</v>
      </c>
      <c r="COS7" s="111">
        <v>3.4</v>
      </c>
      <c r="COT7" s="111">
        <v>2.8</v>
      </c>
      <c r="COU7" s="111">
        <v>2.1</v>
      </c>
      <c r="COV7" s="111">
        <v>1.9</v>
      </c>
      <c r="COW7" s="111">
        <v>2.5</v>
      </c>
      <c r="COX7" s="111">
        <v>3.9</v>
      </c>
      <c r="CPB7" s="93">
        <v>3.1</v>
      </c>
      <c r="CPC7" s="93">
        <v>3.4</v>
      </c>
      <c r="CPX7" s="110" t="s">
        <v>140</v>
      </c>
      <c r="CPY7" s="111">
        <v>3.4</v>
      </c>
      <c r="CPZ7" s="111">
        <v>2.8</v>
      </c>
      <c r="CQA7" s="111">
        <v>2.1</v>
      </c>
      <c r="CQB7" s="111">
        <v>1.9</v>
      </c>
      <c r="CQC7" s="111">
        <v>2.5</v>
      </c>
      <c r="CQD7" s="111">
        <v>3.9</v>
      </c>
      <c r="CQH7" s="93">
        <v>3.1</v>
      </c>
      <c r="CQI7" s="93">
        <v>3.4</v>
      </c>
      <c r="CRD7" s="110" t="s">
        <v>140</v>
      </c>
      <c r="CRE7" s="111">
        <v>3.4</v>
      </c>
      <c r="CRF7" s="111">
        <v>2.8</v>
      </c>
      <c r="CRG7" s="111">
        <v>2.1</v>
      </c>
      <c r="CRH7" s="111">
        <v>1.9</v>
      </c>
      <c r="CRI7" s="111">
        <v>2.5</v>
      </c>
      <c r="CRJ7" s="111">
        <v>3.9</v>
      </c>
      <c r="CRN7" s="93">
        <v>3.1</v>
      </c>
      <c r="CRO7" s="93">
        <v>3.4</v>
      </c>
      <c r="CSJ7" s="110" t="s">
        <v>140</v>
      </c>
      <c r="CSK7" s="111">
        <v>3.4</v>
      </c>
      <c r="CSL7" s="111">
        <v>2.8</v>
      </c>
      <c r="CSM7" s="111">
        <v>2.1</v>
      </c>
      <c r="CSN7" s="111">
        <v>1.9</v>
      </c>
      <c r="CSO7" s="111">
        <v>2.5</v>
      </c>
      <c r="CSP7" s="111">
        <v>3.9</v>
      </c>
      <c r="CST7" s="93">
        <v>3.1</v>
      </c>
      <c r="CSU7" s="93">
        <v>3.4</v>
      </c>
      <c r="CTP7" s="110" t="s">
        <v>140</v>
      </c>
      <c r="CTQ7" s="111">
        <v>3.4</v>
      </c>
      <c r="CTR7" s="111">
        <v>2.8</v>
      </c>
      <c r="CTS7" s="111">
        <v>2.1</v>
      </c>
      <c r="CTT7" s="111">
        <v>1.9</v>
      </c>
      <c r="CTU7" s="111">
        <v>2.5</v>
      </c>
      <c r="CTV7" s="111">
        <v>3.9</v>
      </c>
      <c r="CTZ7" s="93">
        <v>3.1</v>
      </c>
      <c r="CUA7" s="93">
        <v>3.4</v>
      </c>
      <c r="CUV7" s="110" t="s">
        <v>140</v>
      </c>
      <c r="CUW7" s="111">
        <v>3.4</v>
      </c>
      <c r="CUX7" s="111">
        <v>2.8</v>
      </c>
      <c r="CUY7" s="111">
        <v>2.1</v>
      </c>
      <c r="CUZ7" s="111">
        <v>1.9</v>
      </c>
      <c r="CVA7" s="111">
        <v>2.5</v>
      </c>
      <c r="CVB7" s="111">
        <v>3.9</v>
      </c>
      <c r="CVF7" s="93">
        <v>3.1</v>
      </c>
      <c r="CVG7" s="93">
        <v>3.4</v>
      </c>
      <c r="CWB7" s="110" t="s">
        <v>140</v>
      </c>
      <c r="CWC7" s="111">
        <v>3.4</v>
      </c>
      <c r="CWD7" s="111">
        <v>2.8</v>
      </c>
      <c r="CWE7" s="111">
        <v>2.1</v>
      </c>
      <c r="CWF7" s="111">
        <v>1.9</v>
      </c>
      <c r="CWG7" s="111">
        <v>2.5</v>
      </c>
      <c r="CWH7" s="111">
        <v>3.9</v>
      </c>
      <c r="CWL7" s="93">
        <v>3.1</v>
      </c>
      <c r="CWM7" s="93">
        <v>3.4</v>
      </c>
      <c r="CXH7" s="110" t="s">
        <v>140</v>
      </c>
      <c r="CXI7" s="111">
        <v>3.4</v>
      </c>
      <c r="CXJ7" s="111">
        <v>2.8</v>
      </c>
      <c r="CXK7" s="111">
        <v>2.1</v>
      </c>
      <c r="CXL7" s="111">
        <v>1.9</v>
      </c>
      <c r="CXM7" s="111">
        <v>2.5</v>
      </c>
      <c r="CXN7" s="111">
        <v>3.9</v>
      </c>
      <c r="CXR7" s="93">
        <v>3.1</v>
      </c>
      <c r="CXS7" s="93">
        <v>3.4</v>
      </c>
      <c r="CYN7" s="110" t="s">
        <v>140</v>
      </c>
      <c r="CYO7" s="111">
        <v>3.4</v>
      </c>
      <c r="CYP7" s="111">
        <v>2.8</v>
      </c>
      <c r="CYQ7" s="111">
        <v>2.1</v>
      </c>
      <c r="CYR7" s="111">
        <v>1.9</v>
      </c>
      <c r="CYS7" s="111">
        <v>2.5</v>
      </c>
      <c r="CYT7" s="111">
        <v>3.9</v>
      </c>
      <c r="CYX7" s="93">
        <v>3.1</v>
      </c>
      <c r="CYY7" s="93">
        <v>3.4</v>
      </c>
      <c r="CZT7" s="110" t="s">
        <v>140</v>
      </c>
      <c r="CZU7" s="111">
        <v>3.4</v>
      </c>
      <c r="CZV7" s="111">
        <v>2.8</v>
      </c>
      <c r="CZW7" s="111">
        <v>2.1</v>
      </c>
      <c r="CZX7" s="111">
        <v>1.9</v>
      </c>
      <c r="CZY7" s="111">
        <v>2.5</v>
      </c>
      <c r="CZZ7" s="111">
        <v>3.9</v>
      </c>
      <c r="DAD7" s="93">
        <v>3.1</v>
      </c>
      <c r="DAE7" s="93">
        <v>3.4</v>
      </c>
      <c r="DAZ7" s="110" t="s">
        <v>140</v>
      </c>
      <c r="DBA7" s="111">
        <v>3.4</v>
      </c>
      <c r="DBB7" s="111">
        <v>2.8</v>
      </c>
      <c r="DBC7" s="111">
        <v>2.1</v>
      </c>
      <c r="DBD7" s="111">
        <v>1.9</v>
      </c>
      <c r="DBE7" s="111">
        <v>2.5</v>
      </c>
      <c r="DBF7" s="111">
        <v>3.9</v>
      </c>
      <c r="DBJ7" s="93">
        <v>3.1</v>
      </c>
      <c r="DBK7" s="93">
        <v>3.4</v>
      </c>
      <c r="DCF7" s="110" t="s">
        <v>140</v>
      </c>
      <c r="DCG7" s="111">
        <v>3.4</v>
      </c>
      <c r="DCH7" s="111">
        <v>2.8</v>
      </c>
      <c r="DCI7" s="111">
        <v>2.1</v>
      </c>
      <c r="DCJ7" s="111">
        <v>1.9</v>
      </c>
      <c r="DCK7" s="111">
        <v>2.5</v>
      </c>
      <c r="DCL7" s="111">
        <v>3.9</v>
      </c>
      <c r="DCP7" s="93">
        <v>3.1</v>
      </c>
      <c r="DCQ7" s="93">
        <v>3.4</v>
      </c>
      <c r="DDL7" s="110" t="s">
        <v>140</v>
      </c>
      <c r="DDM7" s="111">
        <v>3.4</v>
      </c>
      <c r="DDN7" s="111">
        <v>2.8</v>
      </c>
      <c r="DDO7" s="111">
        <v>2.1</v>
      </c>
      <c r="DDP7" s="111">
        <v>1.9</v>
      </c>
      <c r="DDQ7" s="111">
        <v>2.5</v>
      </c>
      <c r="DDR7" s="111">
        <v>3.9</v>
      </c>
      <c r="DDV7" s="93">
        <v>3.1</v>
      </c>
      <c r="DDW7" s="93">
        <v>3.4</v>
      </c>
      <c r="DER7" s="110" t="s">
        <v>140</v>
      </c>
      <c r="DES7" s="111">
        <v>3.4</v>
      </c>
      <c r="DET7" s="111">
        <v>2.8</v>
      </c>
      <c r="DEU7" s="111">
        <v>2.1</v>
      </c>
      <c r="DEV7" s="111">
        <v>1.9</v>
      </c>
      <c r="DEW7" s="111">
        <v>2.5</v>
      </c>
      <c r="DEX7" s="111">
        <v>3.9</v>
      </c>
      <c r="DFB7" s="93">
        <v>3.1</v>
      </c>
      <c r="DFC7" s="93">
        <v>3.4</v>
      </c>
      <c r="DFX7" s="110" t="s">
        <v>140</v>
      </c>
      <c r="DFY7" s="111">
        <v>3.4</v>
      </c>
      <c r="DFZ7" s="111">
        <v>2.8</v>
      </c>
      <c r="DGA7" s="111">
        <v>2.1</v>
      </c>
      <c r="DGB7" s="111">
        <v>1.9</v>
      </c>
      <c r="DGC7" s="111">
        <v>2.5</v>
      </c>
      <c r="DGD7" s="111">
        <v>3.9</v>
      </c>
      <c r="DGH7" s="93">
        <v>3.1</v>
      </c>
      <c r="DGI7" s="93">
        <v>3.4</v>
      </c>
      <c r="DHD7" s="110" t="s">
        <v>140</v>
      </c>
      <c r="DHE7" s="111">
        <v>3.4</v>
      </c>
      <c r="DHF7" s="111">
        <v>2.8</v>
      </c>
      <c r="DHG7" s="111">
        <v>2.1</v>
      </c>
      <c r="DHH7" s="111">
        <v>1.9</v>
      </c>
      <c r="DHI7" s="111">
        <v>2.5</v>
      </c>
      <c r="DHJ7" s="111">
        <v>3.9</v>
      </c>
      <c r="DHN7" s="93">
        <v>3.1</v>
      </c>
      <c r="DHO7" s="93">
        <v>3.4</v>
      </c>
      <c r="DIJ7" s="110" t="s">
        <v>140</v>
      </c>
      <c r="DIK7" s="111">
        <v>3.4</v>
      </c>
      <c r="DIL7" s="111">
        <v>2.8</v>
      </c>
      <c r="DIM7" s="111">
        <v>2.1</v>
      </c>
      <c r="DIN7" s="111">
        <v>1.9</v>
      </c>
      <c r="DIO7" s="111">
        <v>2.5</v>
      </c>
      <c r="DIP7" s="111">
        <v>3.9</v>
      </c>
      <c r="DIT7" s="93">
        <v>3.1</v>
      </c>
      <c r="DIU7" s="93">
        <v>3.4</v>
      </c>
      <c r="DJP7" s="110" t="s">
        <v>140</v>
      </c>
      <c r="DJQ7" s="111">
        <v>3.4</v>
      </c>
      <c r="DJR7" s="111">
        <v>2.8</v>
      </c>
      <c r="DJS7" s="111">
        <v>2.1</v>
      </c>
      <c r="DJT7" s="111">
        <v>1.9</v>
      </c>
      <c r="DJU7" s="111">
        <v>2.5</v>
      </c>
      <c r="DJV7" s="111">
        <v>3.9</v>
      </c>
      <c r="DJZ7" s="93">
        <v>3.1</v>
      </c>
      <c r="DKA7" s="93">
        <v>3.4</v>
      </c>
      <c r="DKV7" s="110" t="s">
        <v>140</v>
      </c>
      <c r="DKW7" s="111">
        <v>3.4</v>
      </c>
      <c r="DKX7" s="111">
        <v>2.8</v>
      </c>
      <c r="DKY7" s="111">
        <v>2.1</v>
      </c>
      <c r="DKZ7" s="111">
        <v>1.9</v>
      </c>
      <c r="DLA7" s="111">
        <v>2.5</v>
      </c>
      <c r="DLB7" s="111">
        <v>3.9</v>
      </c>
      <c r="DLF7" s="93">
        <v>3.1</v>
      </c>
      <c r="DLG7" s="93">
        <v>3.4</v>
      </c>
      <c r="DMB7" s="110" t="s">
        <v>140</v>
      </c>
      <c r="DMC7" s="111">
        <v>3.4</v>
      </c>
      <c r="DMD7" s="111">
        <v>2.8</v>
      </c>
      <c r="DME7" s="111">
        <v>2.1</v>
      </c>
      <c r="DMF7" s="111">
        <v>1.9</v>
      </c>
      <c r="DMG7" s="111">
        <v>2.5</v>
      </c>
      <c r="DMH7" s="111">
        <v>3.9</v>
      </c>
      <c r="DML7" s="93">
        <v>3.1</v>
      </c>
      <c r="DMM7" s="93">
        <v>3.4</v>
      </c>
      <c r="DNH7" s="110" t="s">
        <v>140</v>
      </c>
      <c r="DNI7" s="111">
        <v>3.4</v>
      </c>
      <c r="DNJ7" s="111">
        <v>2.8</v>
      </c>
      <c r="DNK7" s="111">
        <v>2.1</v>
      </c>
      <c r="DNL7" s="111">
        <v>1.9</v>
      </c>
      <c r="DNM7" s="111">
        <v>2.5</v>
      </c>
      <c r="DNN7" s="111">
        <v>3.9</v>
      </c>
      <c r="DNR7" s="93">
        <v>3.1</v>
      </c>
      <c r="DNS7" s="93">
        <v>3.4</v>
      </c>
      <c r="DON7" s="110" t="s">
        <v>140</v>
      </c>
      <c r="DOO7" s="111">
        <v>3.4</v>
      </c>
      <c r="DOP7" s="111">
        <v>2.8</v>
      </c>
      <c r="DOQ7" s="111">
        <v>2.1</v>
      </c>
      <c r="DOR7" s="111">
        <v>1.9</v>
      </c>
      <c r="DOS7" s="111">
        <v>2.5</v>
      </c>
      <c r="DOT7" s="111">
        <v>3.9</v>
      </c>
      <c r="DOX7" s="93">
        <v>3.1</v>
      </c>
      <c r="DOY7" s="93">
        <v>3.4</v>
      </c>
      <c r="DPT7" s="110" t="s">
        <v>140</v>
      </c>
      <c r="DPU7" s="111">
        <v>3.4</v>
      </c>
      <c r="DPV7" s="111">
        <v>2.8</v>
      </c>
      <c r="DPW7" s="111">
        <v>2.1</v>
      </c>
      <c r="DPX7" s="111">
        <v>1.9</v>
      </c>
      <c r="DPY7" s="111">
        <v>2.5</v>
      </c>
      <c r="DPZ7" s="111">
        <v>3.9</v>
      </c>
      <c r="DQD7" s="93">
        <v>3.1</v>
      </c>
      <c r="DQE7" s="93">
        <v>3.4</v>
      </c>
      <c r="DQZ7" s="110" t="s">
        <v>140</v>
      </c>
      <c r="DRA7" s="111">
        <v>3.4</v>
      </c>
      <c r="DRB7" s="111">
        <v>2.8</v>
      </c>
      <c r="DRC7" s="111">
        <v>2.1</v>
      </c>
      <c r="DRD7" s="111">
        <v>1.9</v>
      </c>
      <c r="DRE7" s="111">
        <v>2.5</v>
      </c>
      <c r="DRF7" s="111">
        <v>3.9</v>
      </c>
      <c r="DRJ7" s="93">
        <v>3.1</v>
      </c>
      <c r="DRK7" s="93">
        <v>3.4</v>
      </c>
      <c r="DSF7" s="110" t="s">
        <v>140</v>
      </c>
      <c r="DSG7" s="111">
        <v>3.4</v>
      </c>
      <c r="DSH7" s="111">
        <v>2.8</v>
      </c>
      <c r="DSI7" s="111">
        <v>2.1</v>
      </c>
      <c r="DSJ7" s="111">
        <v>1.9</v>
      </c>
      <c r="DSK7" s="111">
        <v>2.5</v>
      </c>
      <c r="DSL7" s="111">
        <v>3.9</v>
      </c>
      <c r="DSP7" s="93">
        <v>3.1</v>
      </c>
      <c r="DSQ7" s="93">
        <v>3.4</v>
      </c>
      <c r="DTL7" s="110" t="s">
        <v>140</v>
      </c>
      <c r="DTM7" s="111">
        <v>3.4</v>
      </c>
      <c r="DTN7" s="111">
        <v>2.8</v>
      </c>
      <c r="DTO7" s="111">
        <v>2.1</v>
      </c>
      <c r="DTP7" s="111">
        <v>1.9</v>
      </c>
      <c r="DTQ7" s="111">
        <v>2.5</v>
      </c>
      <c r="DTR7" s="111">
        <v>3.9</v>
      </c>
      <c r="DTV7" s="93">
        <v>3.1</v>
      </c>
      <c r="DTW7" s="93">
        <v>3.4</v>
      </c>
      <c r="DUR7" s="110" t="s">
        <v>140</v>
      </c>
      <c r="DUS7" s="111">
        <v>3.4</v>
      </c>
      <c r="DUT7" s="111">
        <v>2.8</v>
      </c>
      <c r="DUU7" s="111">
        <v>2.1</v>
      </c>
      <c r="DUV7" s="111">
        <v>1.9</v>
      </c>
      <c r="DUW7" s="111">
        <v>2.5</v>
      </c>
      <c r="DUX7" s="111">
        <v>3.9</v>
      </c>
      <c r="DVB7" s="93">
        <v>3.1</v>
      </c>
      <c r="DVC7" s="93">
        <v>3.4</v>
      </c>
      <c r="DVX7" s="110" t="s">
        <v>140</v>
      </c>
      <c r="DVY7" s="111">
        <v>3.4</v>
      </c>
      <c r="DVZ7" s="111">
        <v>2.8</v>
      </c>
      <c r="DWA7" s="111">
        <v>2.1</v>
      </c>
      <c r="DWB7" s="111">
        <v>1.9</v>
      </c>
      <c r="DWC7" s="111">
        <v>2.5</v>
      </c>
      <c r="DWD7" s="111">
        <v>3.9</v>
      </c>
      <c r="DWH7" s="93">
        <v>3.1</v>
      </c>
      <c r="DWI7" s="93">
        <v>3.4</v>
      </c>
      <c r="DXD7" s="110" t="s">
        <v>140</v>
      </c>
      <c r="DXE7" s="111">
        <v>3.4</v>
      </c>
      <c r="DXF7" s="111">
        <v>2.8</v>
      </c>
      <c r="DXG7" s="111">
        <v>2.1</v>
      </c>
      <c r="DXH7" s="111">
        <v>1.9</v>
      </c>
      <c r="DXI7" s="111">
        <v>2.5</v>
      </c>
      <c r="DXJ7" s="111">
        <v>3.9</v>
      </c>
      <c r="DXN7" s="93">
        <v>3.1</v>
      </c>
      <c r="DXO7" s="93">
        <v>3.4</v>
      </c>
      <c r="DYJ7" s="110" t="s">
        <v>140</v>
      </c>
      <c r="DYK7" s="111">
        <v>3.4</v>
      </c>
      <c r="DYL7" s="111">
        <v>2.8</v>
      </c>
      <c r="DYM7" s="111">
        <v>2.1</v>
      </c>
      <c r="DYN7" s="111">
        <v>1.9</v>
      </c>
      <c r="DYO7" s="111">
        <v>2.5</v>
      </c>
      <c r="DYP7" s="111">
        <v>3.9</v>
      </c>
      <c r="DYT7" s="93">
        <v>3.1</v>
      </c>
      <c r="DYU7" s="93">
        <v>3.4</v>
      </c>
      <c r="DZP7" s="110" t="s">
        <v>140</v>
      </c>
      <c r="DZQ7" s="111">
        <v>3.4</v>
      </c>
      <c r="DZR7" s="111">
        <v>2.8</v>
      </c>
      <c r="DZS7" s="111">
        <v>2.1</v>
      </c>
      <c r="DZT7" s="111">
        <v>1.9</v>
      </c>
      <c r="DZU7" s="111">
        <v>2.5</v>
      </c>
      <c r="DZV7" s="111">
        <v>3.9</v>
      </c>
      <c r="DZZ7" s="93">
        <v>3.1</v>
      </c>
      <c r="EAA7" s="93">
        <v>3.4</v>
      </c>
      <c r="EAV7" s="110" t="s">
        <v>140</v>
      </c>
      <c r="EAW7" s="111">
        <v>3.4</v>
      </c>
      <c r="EAX7" s="111">
        <v>2.8</v>
      </c>
      <c r="EAY7" s="111">
        <v>2.1</v>
      </c>
      <c r="EAZ7" s="111">
        <v>1.9</v>
      </c>
      <c r="EBA7" s="111">
        <v>2.5</v>
      </c>
      <c r="EBB7" s="111">
        <v>3.9</v>
      </c>
      <c r="EBF7" s="93">
        <v>3.1</v>
      </c>
      <c r="EBG7" s="93">
        <v>3.4</v>
      </c>
      <c r="ECB7" s="110" t="s">
        <v>140</v>
      </c>
      <c r="ECC7" s="111">
        <v>3.4</v>
      </c>
      <c r="ECD7" s="111">
        <v>2.8</v>
      </c>
      <c r="ECE7" s="111">
        <v>2.1</v>
      </c>
      <c r="ECF7" s="111">
        <v>1.9</v>
      </c>
      <c r="ECG7" s="111">
        <v>2.5</v>
      </c>
      <c r="ECH7" s="111">
        <v>3.9</v>
      </c>
      <c r="ECL7" s="93">
        <v>3.1</v>
      </c>
      <c r="ECM7" s="93">
        <v>3.4</v>
      </c>
      <c r="EDH7" s="110" t="s">
        <v>140</v>
      </c>
      <c r="EDI7" s="111">
        <v>3.4</v>
      </c>
      <c r="EDJ7" s="111">
        <v>2.8</v>
      </c>
      <c r="EDK7" s="111">
        <v>2.1</v>
      </c>
      <c r="EDL7" s="111">
        <v>1.9</v>
      </c>
      <c r="EDM7" s="111">
        <v>2.5</v>
      </c>
      <c r="EDN7" s="111">
        <v>3.9</v>
      </c>
      <c r="EDR7" s="93">
        <v>3.1</v>
      </c>
      <c r="EDS7" s="93">
        <v>3.4</v>
      </c>
      <c r="EEN7" s="110" t="s">
        <v>140</v>
      </c>
      <c r="EEO7" s="111">
        <v>3.4</v>
      </c>
      <c r="EEP7" s="111">
        <v>2.8</v>
      </c>
      <c r="EEQ7" s="111">
        <v>2.1</v>
      </c>
      <c r="EER7" s="111">
        <v>1.9</v>
      </c>
      <c r="EES7" s="111">
        <v>2.5</v>
      </c>
      <c r="EET7" s="111">
        <v>3.9</v>
      </c>
      <c r="EEX7" s="93">
        <v>3.1</v>
      </c>
      <c r="EEY7" s="93">
        <v>3.4</v>
      </c>
      <c r="EFT7" s="110" t="s">
        <v>140</v>
      </c>
      <c r="EFU7" s="111">
        <v>3.4</v>
      </c>
      <c r="EFV7" s="111">
        <v>2.8</v>
      </c>
      <c r="EFW7" s="111">
        <v>2.1</v>
      </c>
      <c r="EFX7" s="111">
        <v>1.9</v>
      </c>
      <c r="EFY7" s="111">
        <v>2.5</v>
      </c>
      <c r="EFZ7" s="111">
        <v>3.9</v>
      </c>
      <c r="EGD7" s="93">
        <v>3.1</v>
      </c>
      <c r="EGE7" s="93">
        <v>3.4</v>
      </c>
      <c r="EGZ7" s="110" t="s">
        <v>140</v>
      </c>
      <c r="EHA7" s="111">
        <v>3.4</v>
      </c>
      <c r="EHB7" s="111">
        <v>2.8</v>
      </c>
      <c r="EHC7" s="111">
        <v>2.1</v>
      </c>
      <c r="EHD7" s="111">
        <v>1.9</v>
      </c>
      <c r="EHE7" s="111">
        <v>2.5</v>
      </c>
      <c r="EHF7" s="111">
        <v>3.9</v>
      </c>
      <c r="EHJ7" s="93">
        <v>3.1</v>
      </c>
      <c r="EHK7" s="93">
        <v>3.4</v>
      </c>
      <c r="EIF7" s="110" t="s">
        <v>140</v>
      </c>
      <c r="EIG7" s="111">
        <v>3.4</v>
      </c>
      <c r="EIH7" s="111">
        <v>2.8</v>
      </c>
      <c r="EII7" s="111">
        <v>2.1</v>
      </c>
      <c r="EIJ7" s="111">
        <v>1.9</v>
      </c>
      <c r="EIK7" s="111">
        <v>2.5</v>
      </c>
      <c r="EIL7" s="111">
        <v>3.9</v>
      </c>
      <c r="EIP7" s="93">
        <v>3.1</v>
      </c>
      <c r="EIQ7" s="93">
        <v>3.4</v>
      </c>
      <c r="EJL7" s="110" t="s">
        <v>140</v>
      </c>
      <c r="EJM7" s="111">
        <v>3.4</v>
      </c>
      <c r="EJN7" s="111">
        <v>2.8</v>
      </c>
      <c r="EJO7" s="111">
        <v>2.1</v>
      </c>
      <c r="EJP7" s="111">
        <v>1.9</v>
      </c>
      <c r="EJQ7" s="111">
        <v>2.5</v>
      </c>
      <c r="EJR7" s="111">
        <v>3.9</v>
      </c>
      <c r="EJV7" s="93">
        <v>3.1</v>
      </c>
      <c r="EJW7" s="93">
        <v>3.4</v>
      </c>
      <c r="EKR7" s="110" t="s">
        <v>140</v>
      </c>
      <c r="EKS7" s="111">
        <v>3.4</v>
      </c>
      <c r="EKT7" s="111">
        <v>2.8</v>
      </c>
      <c r="EKU7" s="111">
        <v>2.1</v>
      </c>
      <c r="EKV7" s="111">
        <v>1.9</v>
      </c>
      <c r="EKW7" s="111">
        <v>2.5</v>
      </c>
      <c r="EKX7" s="111">
        <v>3.9</v>
      </c>
      <c r="ELB7" s="93">
        <v>3.1</v>
      </c>
      <c r="ELC7" s="93">
        <v>3.4</v>
      </c>
      <c r="ELX7" s="110" t="s">
        <v>140</v>
      </c>
      <c r="ELY7" s="111">
        <v>3.4</v>
      </c>
      <c r="ELZ7" s="111">
        <v>2.8</v>
      </c>
      <c r="EMA7" s="111">
        <v>2.1</v>
      </c>
      <c r="EMB7" s="111">
        <v>1.9</v>
      </c>
      <c r="EMC7" s="111">
        <v>2.5</v>
      </c>
      <c r="EMD7" s="111">
        <v>3.9</v>
      </c>
      <c r="EMH7" s="93">
        <v>3.1</v>
      </c>
      <c r="EMI7" s="93">
        <v>3.4</v>
      </c>
      <c r="END7" s="110" t="s">
        <v>140</v>
      </c>
      <c r="ENE7" s="111">
        <v>3.4</v>
      </c>
      <c r="ENF7" s="111">
        <v>2.8</v>
      </c>
      <c r="ENG7" s="111">
        <v>2.1</v>
      </c>
      <c r="ENH7" s="111">
        <v>1.9</v>
      </c>
      <c r="ENI7" s="111">
        <v>2.5</v>
      </c>
      <c r="ENJ7" s="111">
        <v>3.9</v>
      </c>
      <c r="ENN7" s="93">
        <v>3.1</v>
      </c>
      <c r="ENO7" s="93">
        <v>3.4</v>
      </c>
      <c r="EOJ7" s="110" t="s">
        <v>140</v>
      </c>
      <c r="EOK7" s="111">
        <v>3.4</v>
      </c>
      <c r="EOL7" s="111">
        <v>2.8</v>
      </c>
      <c r="EOM7" s="111">
        <v>2.1</v>
      </c>
      <c r="EON7" s="111">
        <v>1.9</v>
      </c>
      <c r="EOO7" s="111">
        <v>2.5</v>
      </c>
      <c r="EOP7" s="111">
        <v>3.9</v>
      </c>
      <c r="EOT7" s="93">
        <v>3.1</v>
      </c>
      <c r="EOU7" s="93">
        <v>3.4</v>
      </c>
      <c r="EPP7" s="110" t="s">
        <v>140</v>
      </c>
      <c r="EPQ7" s="111">
        <v>3.4</v>
      </c>
      <c r="EPR7" s="111">
        <v>2.8</v>
      </c>
      <c r="EPS7" s="111">
        <v>2.1</v>
      </c>
      <c r="EPT7" s="111">
        <v>1.9</v>
      </c>
      <c r="EPU7" s="111">
        <v>2.5</v>
      </c>
      <c r="EPV7" s="111">
        <v>3.9</v>
      </c>
      <c r="EPZ7" s="93">
        <v>3.1</v>
      </c>
      <c r="EQA7" s="93">
        <v>3.4</v>
      </c>
      <c r="EQV7" s="110" t="s">
        <v>140</v>
      </c>
      <c r="EQW7" s="111">
        <v>3.4</v>
      </c>
      <c r="EQX7" s="111">
        <v>2.8</v>
      </c>
      <c r="EQY7" s="111">
        <v>2.1</v>
      </c>
      <c r="EQZ7" s="111">
        <v>1.9</v>
      </c>
      <c r="ERA7" s="111">
        <v>2.5</v>
      </c>
      <c r="ERB7" s="111">
        <v>3.9</v>
      </c>
      <c r="ERF7" s="93">
        <v>3.1</v>
      </c>
      <c r="ERG7" s="93">
        <v>3.4</v>
      </c>
      <c r="ESB7" s="110" t="s">
        <v>140</v>
      </c>
      <c r="ESC7" s="111">
        <v>3.4</v>
      </c>
      <c r="ESD7" s="111">
        <v>2.8</v>
      </c>
      <c r="ESE7" s="111">
        <v>2.1</v>
      </c>
      <c r="ESF7" s="111">
        <v>1.9</v>
      </c>
      <c r="ESG7" s="111">
        <v>2.5</v>
      </c>
      <c r="ESH7" s="111">
        <v>3.9</v>
      </c>
      <c r="ESL7" s="93">
        <v>3.1</v>
      </c>
      <c r="ESM7" s="93">
        <v>3.4</v>
      </c>
      <c r="ETH7" s="110" t="s">
        <v>140</v>
      </c>
      <c r="ETI7" s="111">
        <v>3.4</v>
      </c>
      <c r="ETJ7" s="111">
        <v>2.8</v>
      </c>
      <c r="ETK7" s="111">
        <v>2.1</v>
      </c>
      <c r="ETL7" s="111">
        <v>1.9</v>
      </c>
      <c r="ETM7" s="111">
        <v>2.5</v>
      </c>
      <c r="ETN7" s="111">
        <v>3.9</v>
      </c>
      <c r="ETR7" s="93">
        <v>3.1</v>
      </c>
      <c r="ETS7" s="93">
        <v>3.4</v>
      </c>
      <c r="EUN7" s="110" t="s">
        <v>140</v>
      </c>
      <c r="EUO7" s="111">
        <v>3.4</v>
      </c>
      <c r="EUP7" s="111">
        <v>2.8</v>
      </c>
      <c r="EUQ7" s="111">
        <v>2.1</v>
      </c>
      <c r="EUR7" s="111">
        <v>1.9</v>
      </c>
      <c r="EUS7" s="111">
        <v>2.5</v>
      </c>
      <c r="EUT7" s="111">
        <v>3.9</v>
      </c>
      <c r="EUX7" s="93">
        <v>3.1</v>
      </c>
      <c r="EUY7" s="93">
        <v>3.4</v>
      </c>
      <c r="EVT7" s="110" t="s">
        <v>140</v>
      </c>
      <c r="EVU7" s="111">
        <v>3.4</v>
      </c>
      <c r="EVV7" s="111">
        <v>2.8</v>
      </c>
      <c r="EVW7" s="111">
        <v>2.1</v>
      </c>
      <c r="EVX7" s="111">
        <v>1.9</v>
      </c>
      <c r="EVY7" s="111">
        <v>2.5</v>
      </c>
      <c r="EVZ7" s="111">
        <v>3.9</v>
      </c>
      <c r="EWD7" s="93">
        <v>3.1</v>
      </c>
      <c r="EWE7" s="93">
        <v>3.4</v>
      </c>
      <c r="EWZ7" s="110" t="s">
        <v>140</v>
      </c>
      <c r="EXA7" s="111">
        <v>3.4</v>
      </c>
      <c r="EXB7" s="111">
        <v>2.8</v>
      </c>
      <c r="EXC7" s="111">
        <v>2.1</v>
      </c>
      <c r="EXD7" s="111">
        <v>1.9</v>
      </c>
      <c r="EXE7" s="111">
        <v>2.5</v>
      </c>
      <c r="EXF7" s="111">
        <v>3.9</v>
      </c>
      <c r="EXJ7" s="93">
        <v>3.1</v>
      </c>
      <c r="EXK7" s="93">
        <v>3.4</v>
      </c>
      <c r="EYF7" s="110" t="s">
        <v>140</v>
      </c>
      <c r="EYG7" s="111">
        <v>3.4</v>
      </c>
      <c r="EYH7" s="111">
        <v>2.8</v>
      </c>
      <c r="EYI7" s="111">
        <v>2.1</v>
      </c>
      <c r="EYJ7" s="111">
        <v>1.9</v>
      </c>
      <c r="EYK7" s="111">
        <v>2.5</v>
      </c>
      <c r="EYL7" s="111">
        <v>3.9</v>
      </c>
      <c r="EYP7" s="93">
        <v>3.1</v>
      </c>
      <c r="EYQ7" s="93">
        <v>3.4</v>
      </c>
      <c r="EZL7" s="110" t="s">
        <v>140</v>
      </c>
      <c r="EZM7" s="111">
        <v>3.4</v>
      </c>
      <c r="EZN7" s="111">
        <v>2.8</v>
      </c>
      <c r="EZO7" s="111">
        <v>2.1</v>
      </c>
      <c r="EZP7" s="111">
        <v>1.9</v>
      </c>
      <c r="EZQ7" s="111">
        <v>2.5</v>
      </c>
      <c r="EZR7" s="111">
        <v>3.9</v>
      </c>
      <c r="EZV7" s="93">
        <v>3.1</v>
      </c>
      <c r="EZW7" s="93">
        <v>3.4</v>
      </c>
      <c r="FAR7" s="110" t="s">
        <v>140</v>
      </c>
      <c r="FAS7" s="111">
        <v>3.4</v>
      </c>
      <c r="FAT7" s="111">
        <v>2.8</v>
      </c>
      <c r="FAU7" s="111">
        <v>2.1</v>
      </c>
      <c r="FAV7" s="111">
        <v>1.9</v>
      </c>
      <c r="FAW7" s="111">
        <v>2.5</v>
      </c>
      <c r="FAX7" s="111">
        <v>3.9</v>
      </c>
      <c r="FBB7" s="93">
        <v>3.1</v>
      </c>
      <c r="FBC7" s="93">
        <v>3.4</v>
      </c>
      <c r="FBX7" s="110" t="s">
        <v>140</v>
      </c>
      <c r="FBY7" s="111">
        <v>3.4</v>
      </c>
      <c r="FBZ7" s="111">
        <v>2.8</v>
      </c>
      <c r="FCA7" s="111">
        <v>2.1</v>
      </c>
      <c r="FCB7" s="111">
        <v>1.9</v>
      </c>
      <c r="FCC7" s="111">
        <v>2.5</v>
      </c>
      <c r="FCD7" s="111">
        <v>3.9</v>
      </c>
      <c r="FCH7" s="93">
        <v>3.1</v>
      </c>
      <c r="FCI7" s="93">
        <v>3.4</v>
      </c>
      <c r="FDD7" s="110" t="s">
        <v>140</v>
      </c>
      <c r="FDE7" s="111">
        <v>3.4</v>
      </c>
      <c r="FDF7" s="111">
        <v>2.8</v>
      </c>
      <c r="FDG7" s="111">
        <v>2.1</v>
      </c>
      <c r="FDH7" s="111">
        <v>1.9</v>
      </c>
      <c r="FDI7" s="111">
        <v>2.5</v>
      </c>
      <c r="FDJ7" s="111">
        <v>3.9</v>
      </c>
      <c r="FDN7" s="93">
        <v>3.1</v>
      </c>
      <c r="FDO7" s="93">
        <v>3.4</v>
      </c>
      <c r="FEJ7" s="110" t="s">
        <v>140</v>
      </c>
      <c r="FEK7" s="111">
        <v>3.4</v>
      </c>
      <c r="FEL7" s="111">
        <v>2.8</v>
      </c>
      <c r="FEM7" s="111">
        <v>2.1</v>
      </c>
      <c r="FEN7" s="111">
        <v>1.9</v>
      </c>
      <c r="FEO7" s="111">
        <v>2.5</v>
      </c>
      <c r="FEP7" s="111">
        <v>3.9</v>
      </c>
      <c r="FET7" s="93">
        <v>3.1</v>
      </c>
      <c r="FEU7" s="93">
        <v>3.4</v>
      </c>
      <c r="FFP7" s="110" t="s">
        <v>140</v>
      </c>
      <c r="FFQ7" s="111">
        <v>3.4</v>
      </c>
      <c r="FFR7" s="111">
        <v>2.8</v>
      </c>
      <c r="FFS7" s="111">
        <v>2.1</v>
      </c>
      <c r="FFT7" s="111">
        <v>1.9</v>
      </c>
      <c r="FFU7" s="111">
        <v>2.5</v>
      </c>
      <c r="FFV7" s="111">
        <v>3.9</v>
      </c>
      <c r="FFZ7" s="93">
        <v>3.1</v>
      </c>
      <c r="FGA7" s="93">
        <v>3.4</v>
      </c>
      <c r="FGV7" s="110" t="s">
        <v>140</v>
      </c>
      <c r="FGW7" s="111">
        <v>3.4</v>
      </c>
      <c r="FGX7" s="111">
        <v>2.8</v>
      </c>
      <c r="FGY7" s="111">
        <v>2.1</v>
      </c>
      <c r="FGZ7" s="111">
        <v>1.9</v>
      </c>
      <c r="FHA7" s="111">
        <v>2.5</v>
      </c>
      <c r="FHB7" s="111">
        <v>3.9</v>
      </c>
      <c r="FHF7" s="93">
        <v>3.1</v>
      </c>
      <c r="FHG7" s="93">
        <v>3.4</v>
      </c>
      <c r="FIB7" s="110" t="s">
        <v>140</v>
      </c>
      <c r="FIC7" s="111">
        <v>3.4</v>
      </c>
      <c r="FID7" s="111">
        <v>2.8</v>
      </c>
      <c r="FIE7" s="111">
        <v>2.1</v>
      </c>
      <c r="FIF7" s="111">
        <v>1.9</v>
      </c>
      <c r="FIG7" s="111">
        <v>2.5</v>
      </c>
      <c r="FIH7" s="111">
        <v>3.9</v>
      </c>
      <c r="FIL7" s="93">
        <v>3.1</v>
      </c>
      <c r="FIM7" s="93">
        <v>3.4</v>
      </c>
      <c r="FJH7" s="110" t="s">
        <v>140</v>
      </c>
      <c r="FJI7" s="111">
        <v>3.4</v>
      </c>
      <c r="FJJ7" s="111">
        <v>2.8</v>
      </c>
      <c r="FJK7" s="111">
        <v>2.1</v>
      </c>
      <c r="FJL7" s="111">
        <v>1.9</v>
      </c>
      <c r="FJM7" s="111">
        <v>2.5</v>
      </c>
      <c r="FJN7" s="111">
        <v>3.9</v>
      </c>
      <c r="FJR7" s="93">
        <v>3.1</v>
      </c>
      <c r="FJS7" s="93">
        <v>3.4</v>
      </c>
      <c r="FKN7" s="110" t="s">
        <v>140</v>
      </c>
      <c r="FKO7" s="111">
        <v>3.4</v>
      </c>
      <c r="FKP7" s="111">
        <v>2.8</v>
      </c>
      <c r="FKQ7" s="111">
        <v>2.1</v>
      </c>
      <c r="FKR7" s="111">
        <v>1.9</v>
      </c>
      <c r="FKS7" s="111">
        <v>2.5</v>
      </c>
      <c r="FKT7" s="111">
        <v>3.9</v>
      </c>
      <c r="FKX7" s="93">
        <v>3.1</v>
      </c>
      <c r="FKY7" s="93">
        <v>3.4</v>
      </c>
      <c r="FLT7" s="110" t="s">
        <v>140</v>
      </c>
      <c r="FLU7" s="111">
        <v>3.4</v>
      </c>
      <c r="FLV7" s="111">
        <v>2.8</v>
      </c>
      <c r="FLW7" s="111">
        <v>2.1</v>
      </c>
      <c r="FLX7" s="111">
        <v>1.9</v>
      </c>
      <c r="FLY7" s="111">
        <v>2.5</v>
      </c>
      <c r="FLZ7" s="111">
        <v>3.9</v>
      </c>
      <c r="FMD7" s="93">
        <v>3.1</v>
      </c>
      <c r="FME7" s="93">
        <v>3.4</v>
      </c>
      <c r="FMZ7" s="110" t="s">
        <v>140</v>
      </c>
      <c r="FNA7" s="111">
        <v>3.4</v>
      </c>
      <c r="FNB7" s="111">
        <v>2.8</v>
      </c>
      <c r="FNC7" s="111">
        <v>2.1</v>
      </c>
      <c r="FND7" s="111">
        <v>1.9</v>
      </c>
      <c r="FNE7" s="111">
        <v>2.5</v>
      </c>
      <c r="FNF7" s="111">
        <v>3.9</v>
      </c>
      <c r="FNJ7" s="93">
        <v>3.1</v>
      </c>
      <c r="FNK7" s="93">
        <v>3.4</v>
      </c>
      <c r="FOF7" s="110" t="s">
        <v>140</v>
      </c>
      <c r="FOG7" s="111">
        <v>3.4</v>
      </c>
      <c r="FOH7" s="111">
        <v>2.8</v>
      </c>
      <c r="FOI7" s="111">
        <v>2.1</v>
      </c>
      <c r="FOJ7" s="111">
        <v>1.9</v>
      </c>
      <c r="FOK7" s="111">
        <v>2.5</v>
      </c>
      <c r="FOL7" s="111">
        <v>3.9</v>
      </c>
      <c r="FOP7" s="93">
        <v>3.1</v>
      </c>
      <c r="FOQ7" s="93">
        <v>3.4</v>
      </c>
      <c r="FPL7" s="110" t="s">
        <v>140</v>
      </c>
      <c r="FPM7" s="111">
        <v>3.4</v>
      </c>
      <c r="FPN7" s="111">
        <v>2.8</v>
      </c>
      <c r="FPO7" s="111">
        <v>2.1</v>
      </c>
      <c r="FPP7" s="111">
        <v>1.9</v>
      </c>
      <c r="FPQ7" s="111">
        <v>2.5</v>
      </c>
      <c r="FPR7" s="111">
        <v>3.9</v>
      </c>
      <c r="FPV7" s="93">
        <v>3.1</v>
      </c>
      <c r="FPW7" s="93">
        <v>3.4</v>
      </c>
      <c r="FQR7" s="110" t="s">
        <v>140</v>
      </c>
      <c r="FQS7" s="111">
        <v>3.4</v>
      </c>
      <c r="FQT7" s="111">
        <v>2.8</v>
      </c>
      <c r="FQU7" s="111">
        <v>2.1</v>
      </c>
      <c r="FQV7" s="111">
        <v>1.9</v>
      </c>
      <c r="FQW7" s="111">
        <v>2.5</v>
      </c>
      <c r="FQX7" s="111">
        <v>3.9</v>
      </c>
      <c r="FRB7" s="93">
        <v>3.1</v>
      </c>
      <c r="FRC7" s="93">
        <v>3.4</v>
      </c>
      <c r="FRX7" s="110" t="s">
        <v>140</v>
      </c>
      <c r="FRY7" s="111">
        <v>3.4</v>
      </c>
      <c r="FRZ7" s="111">
        <v>2.8</v>
      </c>
      <c r="FSA7" s="111">
        <v>2.1</v>
      </c>
      <c r="FSB7" s="111">
        <v>1.9</v>
      </c>
      <c r="FSC7" s="111">
        <v>2.5</v>
      </c>
      <c r="FSD7" s="111">
        <v>3.9</v>
      </c>
      <c r="FSH7" s="93">
        <v>3.1</v>
      </c>
      <c r="FSI7" s="93">
        <v>3.4</v>
      </c>
      <c r="FTD7" s="110" t="s">
        <v>140</v>
      </c>
      <c r="FTE7" s="111">
        <v>3.4</v>
      </c>
      <c r="FTF7" s="111">
        <v>2.8</v>
      </c>
      <c r="FTG7" s="111">
        <v>2.1</v>
      </c>
      <c r="FTH7" s="111">
        <v>1.9</v>
      </c>
      <c r="FTI7" s="111">
        <v>2.5</v>
      </c>
      <c r="FTJ7" s="111">
        <v>3.9</v>
      </c>
      <c r="FTN7" s="93">
        <v>3.1</v>
      </c>
      <c r="FTO7" s="93">
        <v>3.4</v>
      </c>
      <c r="FUJ7" s="110" t="s">
        <v>140</v>
      </c>
      <c r="FUK7" s="111">
        <v>3.4</v>
      </c>
      <c r="FUL7" s="111">
        <v>2.8</v>
      </c>
      <c r="FUM7" s="111">
        <v>2.1</v>
      </c>
      <c r="FUN7" s="111">
        <v>1.9</v>
      </c>
      <c r="FUO7" s="111">
        <v>2.5</v>
      </c>
      <c r="FUP7" s="111">
        <v>3.9</v>
      </c>
      <c r="FUT7" s="93">
        <v>3.1</v>
      </c>
      <c r="FUU7" s="93">
        <v>3.4</v>
      </c>
      <c r="FVP7" s="110" t="s">
        <v>140</v>
      </c>
      <c r="FVQ7" s="111">
        <v>3.4</v>
      </c>
      <c r="FVR7" s="111">
        <v>2.8</v>
      </c>
      <c r="FVS7" s="111">
        <v>2.1</v>
      </c>
      <c r="FVT7" s="111">
        <v>1.9</v>
      </c>
      <c r="FVU7" s="111">
        <v>2.5</v>
      </c>
      <c r="FVV7" s="111">
        <v>3.9</v>
      </c>
      <c r="FVZ7" s="93">
        <v>3.1</v>
      </c>
      <c r="FWA7" s="93">
        <v>3.4</v>
      </c>
      <c r="FWV7" s="110" t="s">
        <v>140</v>
      </c>
      <c r="FWW7" s="111">
        <v>3.4</v>
      </c>
      <c r="FWX7" s="111">
        <v>2.8</v>
      </c>
      <c r="FWY7" s="111">
        <v>2.1</v>
      </c>
      <c r="FWZ7" s="111">
        <v>1.9</v>
      </c>
      <c r="FXA7" s="111">
        <v>2.5</v>
      </c>
      <c r="FXB7" s="111">
        <v>3.9</v>
      </c>
      <c r="FXF7" s="93">
        <v>3.1</v>
      </c>
      <c r="FXG7" s="93">
        <v>3.4</v>
      </c>
      <c r="FYB7" s="110" t="s">
        <v>140</v>
      </c>
      <c r="FYC7" s="111">
        <v>3.4</v>
      </c>
      <c r="FYD7" s="111">
        <v>2.8</v>
      </c>
      <c r="FYE7" s="111">
        <v>2.1</v>
      </c>
      <c r="FYF7" s="111">
        <v>1.9</v>
      </c>
      <c r="FYG7" s="111">
        <v>2.5</v>
      </c>
      <c r="FYH7" s="111">
        <v>3.9</v>
      </c>
      <c r="FYL7" s="93">
        <v>3.1</v>
      </c>
      <c r="FYM7" s="93">
        <v>3.4</v>
      </c>
      <c r="FZH7" s="110" t="s">
        <v>140</v>
      </c>
      <c r="FZI7" s="111">
        <v>3.4</v>
      </c>
      <c r="FZJ7" s="111">
        <v>2.8</v>
      </c>
      <c r="FZK7" s="111">
        <v>2.1</v>
      </c>
      <c r="FZL7" s="111">
        <v>1.9</v>
      </c>
      <c r="FZM7" s="111">
        <v>2.5</v>
      </c>
      <c r="FZN7" s="111">
        <v>3.9</v>
      </c>
      <c r="FZR7" s="93">
        <v>3.1</v>
      </c>
      <c r="FZS7" s="93">
        <v>3.4</v>
      </c>
      <c r="GAN7" s="110" t="s">
        <v>140</v>
      </c>
      <c r="GAO7" s="111">
        <v>3.4</v>
      </c>
      <c r="GAP7" s="111">
        <v>2.8</v>
      </c>
      <c r="GAQ7" s="111">
        <v>2.1</v>
      </c>
      <c r="GAR7" s="111">
        <v>1.9</v>
      </c>
      <c r="GAS7" s="111">
        <v>2.5</v>
      </c>
      <c r="GAT7" s="111">
        <v>3.9</v>
      </c>
      <c r="GAX7" s="93">
        <v>3.1</v>
      </c>
      <c r="GAY7" s="93">
        <v>3.4</v>
      </c>
      <c r="GBT7" s="110" t="s">
        <v>140</v>
      </c>
      <c r="GBU7" s="111">
        <v>3.4</v>
      </c>
      <c r="GBV7" s="111">
        <v>2.8</v>
      </c>
      <c r="GBW7" s="111">
        <v>2.1</v>
      </c>
      <c r="GBX7" s="111">
        <v>1.9</v>
      </c>
      <c r="GBY7" s="111">
        <v>2.5</v>
      </c>
      <c r="GBZ7" s="111">
        <v>3.9</v>
      </c>
      <c r="GCD7" s="93">
        <v>3.1</v>
      </c>
      <c r="GCE7" s="93">
        <v>3.4</v>
      </c>
      <c r="GCZ7" s="110" t="s">
        <v>140</v>
      </c>
      <c r="GDA7" s="111">
        <v>3.4</v>
      </c>
      <c r="GDB7" s="111">
        <v>2.8</v>
      </c>
      <c r="GDC7" s="111">
        <v>2.1</v>
      </c>
      <c r="GDD7" s="111">
        <v>1.9</v>
      </c>
      <c r="GDE7" s="111">
        <v>2.5</v>
      </c>
      <c r="GDF7" s="111">
        <v>3.9</v>
      </c>
      <c r="GDJ7" s="93">
        <v>3.1</v>
      </c>
      <c r="GDK7" s="93">
        <v>3.4</v>
      </c>
      <c r="GEF7" s="110" t="s">
        <v>140</v>
      </c>
      <c r="GEG7" s="111">
        <v>3.4</v>
      </c>
      <c r="GEH7" s="111">
        <v>2.8</v>
      </c>
      <c r="GEI7" s="111">
        <v>2.1</v>
      </c>
      <c r="GEJ7" s="111">
        <v>1.9</v>
      </c>
      <c r="GEK7" s="111">
        <v>2.5</v>
      </c>
      <c r="GEL7" s="111">
        <v>3.9</v>
      </c>
      <c r="GEP7" s="93">
        <v>3.1</v>
      </c>
      <c r="GEQ7" s="93">
        <v>3.4</v>
      </c>
      <c r="GFL7" s="110" t="s">
        <v>140</v>
      </c>
      <c r="GFM7" s="111">
        <v>3.4</v>
      </c>
      <c r="GFN7" s="111">
        <v>2.8</v>
      </c>
      <c r="GFO7" s="111">
        <v>2.1</v>
      </c>
      <c r="GFP7" s="111">
        <v>1.9</v>
      </c>
      <c r="GFQ7" s="111">
        <v>2.5</v>
      </c>
      <c r="GFR7" s="111">
        <v>3.9</v>
      </c>
      <c r="GFV7" s="93">
        <v>3.1</v>
      </c>
      <c r="GFW7" s="93">
        <v>3.4</v>
      </c>
      <c r="GGR7" s="110" t="s">
        <v>140</v>
      </c>
      <c r="GGS7" s="111">
        <v>3.4</v>
      </c>
      <c r="GGT7" s="111">
        <v>2.8</v>
      </c>
      <c r="GGU7" s="111">
        <v>2.1</v>
      </c>
      <c r="GGV7" s="111">
        <v>1.9</v>
      </c>
      <c r="GGW7" s="111">
        <v>2.5</v>
      </c>
      <c r="GGX7" s="111">
        <v>3.9</v>
      </c>
      <c r="GHB7" s="93">
        <v>3.1</v>
      </c>
      <c r="GHC7" s="93">
        <v>3.4</v>
      </c>
      <c r="GHX7" s="110" t="s">
        <v>140</v>
      </c>
      <c r="GHY7" s="111">
        <v>3.4</v>
      </c>
      <c r="GHZ7" s="111">
        <v>2.8</v>
      </c>
      <c r="GIA7" s="111">
        <v>2.1</v>
      </c>
      <c r="GIB7" s="111">
        <v>1.9</v>
      </c>
      <c r="GIC7" s="111">
        <v>2.5</v>
      </c>
      <c r="GID7" s="111">
        <v>3.9</v>
      </c>
      <c r="GIH7" s="93">
        <v>3.1</v>
      </c>
      <c r="GII7" s="93">
        <v>3.4</v>
      </c>
      <c r="GJD7" s="110" t="s">
        <v>140</v>
      </c>
      <c r="GJE7" s="111">
        <v>3.4</v>
      </c>
      <c r="GJF7" s="111">
        <v>2.8</v>
      </c>
      <c r="GJG7" s="111">
        <v>2.1</v>
      </c>
      <c r="GJH7" s="111">
        <v>1.9</v>
      </c>
      <c r="GJI7" s="111">
        <v>2.5</v>
      </c>
      <c r="GJJ7" s="111">
        <v>3.9</v>
      </c>
      <c r="GJN7" s="93">
        <v>3.1</v>
      </c>
      <c r="GJO7" s="93">
        <v>3.4</v>
      </c>
      <c r="GKJ7" s="110" t="s">
        <v>140</v>
      </c>
      <c r="GKK7" s="111">
        <v>3.4</v>
      </c>
      <c r="GKL7" s="111">
        <v>2.8</v>
      </c>
      <c r="GKM7" s="111">
        <v>2.1</v>
      </c>
      <c r="GKN7" s="111">
        <v>1.9</v>
      </c>
      <c r="GKO7" s="111">
        <v>2.5</v>
      </c>
      <c r="GKP7" s="111">
        <v>3.9</v>
      </c>
      <c r="GKT7" s="93">
        <v>3.1</v>
      </c>
      <c r="GKU7" s="93">
        <v>3.4</v>
      </c>
      <c r="GLP7" s="110" t="s">
        <v>140</v>
      </c>
      <c r="GLQ7" s="111">
        <v>3.4</v>
      </c>
      <c r="GLR7" s="111">
        <v>2.8</v>
      </c>
      <c r="GLS7" s="111">
        <v>2.1</v>
      </c>
      <c r="GLT7" s="111">
        <v>1.9</v>
      </c>
      <c r="GLU7" s="111">
        <v>2.5</v>
      </c>
      <c r="GLV7" s="111">
        <v>3.9</v>
      </c>
      <c r="GLZ7" s="93">
        <v>3.1</v>
      </c>
      <c r="GMA7" s="93">
        <v>3.4</v>
      </c>
      <c r="GMV7" s="110" t="s">
        <v>140</v>
      </c>
      <c r="GMW7" s="111">
        <v>3.4</v>
      </c>
      <c r="GMX7" s="111">
        <v>2.8</v>
      </c>
      <c r="GMY7" s="111">
        <v>2.1</v>
      </c>
      <c r="GMZ7" s="111">
        <v>1.9</v>
      </c>
      <c r="GNA7" s="111">
        <v>2.5</v>
      </c>
      <c r="GNB7" s="111">
        <v>3.9</v>
      </c>
      <c r="GNF7" s="93">
        <v>3.1</v>
      </c>
      <c r="GNG7" s="93">
        <v>3.4</v>
      </c>
      <c r="GOB7" s="110" t="s">
        <v>140</v>
      </c>
      <c r="GOC7" s="111">
        <v>3.4</v>
      </c>
      <c r="GOD7" s="111">
        <v>2.8</v>
      </c>
      <c r="GOE7" s="111">
        <v>2.1</v>
      </c>
      <c r="GOF7" s="111">
        <v>1.9</v>
      </c>
      <c r="GOG7" s="111">
        <v>2.5</v>
      </c>
      <c r="GOH7" s="111">
        <v>3.9</v>
      </c>
      <c r="GOL7" s="93">
        <v>3.1</v>
      </c>
      <c r="GOM7" s="93">
        <v>3.4</v>
      </c>
      <c r="GPH7" s="110" t="s">
        <v>140</v>
      </c>
      <c r="GPI7" s="111">
        <v>3.4</v>
      </c>
      <c r="GPJ7" s="111">
        <v>2.8</v>
      </c>
      <c r="GPK7" s="111">
        <v>2.1</v>
      </c>
      <c r="GPL7" s="111">
        <v>1.9</v>
      </c>
      <c r="GPM7" s="111">
        <v>2.5</v>
      </c>
      <c r="GPN7" s="111">
        <v>3.9</v>
      </c>
      <c r="GPR7" s="93">
        <v>3.1</v>
      </c>
      <c r="GPS7" s="93">
        <v>3.4</v>
      </c>
      <c r="GQN7" s="110" t="s">
        <v>140</v>
      </c>
      <c r="GQO7" s="111">
        <v>3.4</v>
      </c>
      <c r="GQP7" s="111">
        <v>2.8</v>
      </c>
      <c r="GQQ7" s="111">
        <v>2.1</v>
      </c>
      <c r="GQR7" s="111">
        <v>1.9</v>
      </c>
      <c r="GQS7" s="111">
        <v>2.5</v>
      </c>
      <c r="GQT7" s="111">
        <v>3.9</v>
      </c>
      <c r="GQX7" s="93">
        <v>3.1</v>
      </c>
      <c r="GQY7" s="93">
        <v>3.4</v>
      </c>
      <c r="GRT7" s="110" t="s">
        <v>140</v>
      </c>
      <c r="GRU7" s="111">
        <v>3.4</v>
      </c>
      <c r="GRV7" s="111">
        <v>2.8</v>
      </c>
      <c r="GRW7" s="111">
        <v>2.1</v>
      </c>
      <c r="GRX7" s="111">
        <v>1.9</v>
      </c>
      <c r="GRY7" s="111">
        <v>2.5</v>
      </c>
      <c r="GRZ7" s="111">
        <v>3.9</v>
      </c>
      <c r="GSD7" s="93">
        <v>3.1</v>
      </c>
      <c r="GSE7" s="93">
        <v>3.4</v>
      </c>
      <c r="GSZ7" s="110" t="s">
        <v>140</v>
      </c>
      <c r="GTA7" s="111">
        <v>3.4</v>
      </c>
      <c r="GTB7" s="111">
        <v>2.8</v>
      </c>
      <c r="GTC7" s="111">
        <v>2.1</v>
      </c>
      <c r="GTD7" s="111">
        <v>1.9</v>
      </c>
      <c r="GTE7" s="111">
        <v>2.5</v>
      </c>
      <c r="GTF7" s="111">
        <v>3.9</v>
      </c>
      <c r="GTJ7" s="93">
        <v>3.1</v>
      </c>
      <c r="GTK7" s="93">
        <v>3.4</v>
      </c>
      <c r="GUF7" s="110" t="s">
        <v>140</v>
      </c>
      <c r="GUG7" s="111">
        <v>3.4</v>
      </c>
      <c r="GUH7" s="111">
        <v>2.8</v>
      </c>
      <c r="GUI7" s="111">
        <v>2.1</v>
      </c>
      <c r="GUJ7" s="111">
        <v>1.9</v>
      </c>
      <c r="GUK7" s="111">
        <v>2.5</v>
      </c>
      <c r="GUL7" s="111">
        <v>3.9</v>
      </c>
      <c r="GUP7" s="93">
        <v>3.1</v>
      </c>
      <c r="GUQ7" s="93">
        <v>3.4</v>
      </c>
      <c r="GVL7" s="110" t="s">
        <v>140</v>
      </c>
      <c r="GVM7" s="111">
        <v>3.4</v>
      </c>
      <c r="GVN7" s="111">
        <v>2.8</v>
      </c>
      <c r="GVO7" s="111">
        <v>2.1</v>
      </c>
      <c r="GVP7" s="111">
        <v>1.9</v>
      </c>
      <c r="GVQ7" s="111">
        <v>2.5</v>
      </c>
      <c r="GVR7" s="111">
        <v>3.9</v>
      </c>
      <c r="GVV7" s="93">
        <v>3.1</v>
      </c>
      <c r="GVW7" s="93">
        <v>3.4</v>
      </c>
      <c r="GWR7" s="110" t="s">
        <v>140</v>
      </c>
      <c r="GWS7" s="111">
        <v>3.4</v>
      </c>
      <c r="GWT7" s="111">
        <v>2.8</v>
      </c>
      <c r="GWU7" s="111">
        <v>2.1</v>
      </c>
      <c r="GWV7" s="111">
        <v>1.9</v>
      </c>
      <c r="GWW7" s="111">
        <v>2.5</v>
      </c>
      <c r="GWX7" s="111">
        <v>3.9</v>
      </c>
      <c r="GXB7" s="93">
        <v>3.1</v>
      </c>
      <c r="GXC7" s="93">
        <v>3.4</v>
      </c>
      <c r="GXX7" s="110" t="s">
        <v>140</v>
      </c>
      <c r="GXY7" s="111">
        <v>3.4</v>
      </c>
      <c r="GXZ7" s="111">
        <v>2.8</v>
      </c>
      <c r="GYA7" s="111">
        <v>2.1</v>
      </c>
      <c r="GYB7" s="111">
        <v>1.9</v>
      </c>
      <c r="GYC7" s="111">
        <v>2.5</v>
      </c>
      <c r="GYD7" s="111">
        <v>3.9</v>
      </c>
      <c r="GYH7" s="93">
        <v>3.1</v>
      </c>
      <c r="GYI7" s="93">
        <v>3.4</v>
      </c>
      <c r="GZD7" s="110" t="s">
        <v>140</v>
      </c>
      <c r="GZE7" s="111">
        <v>3.4</v>
      </c>
      <c r="GZF7" s="111">
        <v>2.8</v>
      </c>
      <c r="GZG7" s="111">
        <v>2.1</v>
      </c>
      <c r="GZH7" s="111">
        <v>1.9</v>
      </c>
      <c r="GZI7" s="111">
        <v>2.5</v>
      </c>
      <c r="GZJ7" s="111">
        <v>3.9</v>
      </c>
      <c r="GZN7" s="93">
        <v>3.1</v>
      </c>
      <c r="GZO7" s="93">
        <v>3.4</v>
      </c>
      <c r="HAJ7" s="110" t="s">
        <v>140</v>
      </c>
      <c r="HAK7" s="111">
        <v>3.4</v>
      </c>
      <c r="HAL7" s="111">
        <v>2.8</v>
      </c>
      <c r="HAM7" s="111">
        <v>2.1</v>
      </c>
      <c r="HAN7" s="111">
        <v>1.9</v>
      </c>
      <c r="HAO7" s="111">
        <v>2.5</v>
      </c>
      <c r="HAP7" s="111">
        <v>3.9</v>
      </c>
      <c r="HAT7" s="93">
        <v>3.1</v>
      </c>
      <c r="HAU7" s="93">
        <v>3.4</v>
      </c>
      <c r="HBP7" s="110" t="s">
        <v>140</v>
      </c>
      <c r="HBQ7" s="111">
        <v>3.4</v>
      </c>
      <c r="HBR7" s="111">
        <v>2.8</v>
      </c>
      <c r="HBS7" s="111">
        <v>2.1</v>
      </c>
      <c r="HBT7" s="111">
        <v>1.9</v>
      </c>
      <c r="HBU7" s="111">
        <v>2.5</v>
      </c>
      <c r="HBV7" s="111">
        <v>3.9</v>
      </c>
      <c r="HBZ7" s="93">
        <v>3.1</v>
      </c>
      <c r="HCA7" s="93">
        <v>3.4</v>
      </c>
      <c r="HCV7" s="110" t="s">
        <v>140</v>
      </c>
      <c r="HCW7" s="111">
        <v>3.4</v>
      </c>
      <c r="HCX7" s="111">
        <v>2.8</v>
      </c>
      <c r="HCY7" s="111">
        <v>2.1</v>
      </c>
      <c r="HCZ7" s="111">
        <v>1.9</v>
      </c>
      <c r="HDA7" s="111">
        <v>2.5</v>
      </c>
      <c r="HDB7" s="111">
        <v>3.9</v>
      </c>
      <c r="HDF7" s="93">
        <v>3.1</v>
      </c>
      <c r="HDG7" s="93">
        <v>3.4</v>
      </c>
      <c r="HEB7" s="110" t="s">
        <v>140</v>
      </c>
      <c r="HEC7" s="111">
        <v>3.4</v>
      </c>
      <c r="HED7" s="111">
        <v>2.8</v>
      </c>
      <c r="HEE7" s="111">
        <v>2.1</v>
      </c>
      <c r="HEF7" s="111">
        <v>1.9</v>
      </c>
      <c r="HEG7" s="111">
        <v>2.5</v>
      </c>
      <c r="HEH7" s="111">
        <v>3.9</v>
      </c>
      <c r="HEL7" s="93">
        <v>3.1</v>
      </c>
      <c r="HEM7" s="93">
        <v>3.4</v>
      </c>
      <c r="HFH7" s="110" t="s">
        <v>140</v>
      </c>
      <c r="HFI7" s="111">
        <v>3.4</v>
      </c>
      <c r="HFJ7" s="111">
        <v>2.8</v>
      </c>
      <c r="HFK7" s="111">
        <v>2.1</v>
      </c>
      <c r="HFL7" s="111">
        <v>1.9</v>
      </c>
      <c r="HFM7" s="111">
        <v>2.5</v>
      </c>
      <c r="HFN7" s="111">
        <v>3.9</v>
      </c>
      <c r="HFR7" s="93">
        <v>3.1</v>
      </c>
      <c r="HFS7" s="93">
        <v>3.4</v>
      </c>
      <c r="HGN7" s="110" t="s">
        <v>140</v>
      </c>
      <c r="HGO7" s="111">
        <v>3.4</v>
      </c>
      <c r="HGP7" s="111">
        <v>2.8</v>
      </c>
      <c r="HGQ7" s="111">
        <v>2.1</v>
      </c>
      <c r="HGR7" s="111">
        <v>1.9</v>
      </c>
      <c r="HGS7" s="111">
        <v>2.5</v>
      </c>
      <c r="HGT7" s="111">
        <v>3.9</v>
      </c>
      <c r="HGX7" s="93">
        <v>3.1</v>
      </c>
      <c r="HGY7" s="93">
        <v>3.4</v>
      </c>
      <c r="HHT7" s="110" t="s">
        <v>140</v>
      </c>
      <c r="HHU7" s="111">
        <v>3.4</v>
      </c>
      <c r="HHV7" s="111">
        <v>2.8</v>
      </c>
      <c r="HHW7" s="111">
        <v>2.1</v>
      </c>
      <c r="HHX7" s="111">
        <v>1.9</v>
      </c>
      <c r="HHY7" s="111">
        <v>2.5</v>
      </c>
      <c r="HHZ7" s="111">
        <v>3.9</v>
      </c>
      <c r="HID7" s="93">
        <v>3.1</v>
      </c>
      <c r="HIE7" s="93">
        <v>3.4</v>
      </c>
      <c r="HIZ7" s="110" t="s">
        <v>140</v>
      </c>
      <c r="HJA7" s="111">
        <v>3.4</v>
      </c>
      <c r="HJB7" s="111">
        <v>2.8</v>
      </c>
      <c r="HJC7" s="111">
        <v>2.1</v>
      </c>
      <c r="HJD7" s="111">
        <v>1.9</v>
      </c>
      <c r="HJE7" s="111">
        <v>2.5</v>
      </c>
      <c r="HJF7" s="111">
        <v>3.9</v>
      </c>
      <c r="HJJ7" s="93">
        <v>3.1</v>
      </c>
      <c r="HJK7" s="93">
        <v>3.4</v>
      </c>
      <c r="HKF7" s="110" t="s">
        <v>140</v>
      </c>
      <c r="HKG7" s="111">
        <v>3.4</v>
      </c>
      <c r="HKH7" s="111">
        <v>2.8</v>
      </c>
      <c r="HKI7" s="111">
        <v>2.1</v>
      </c>
      <c r="HKJ7" s="111">
        <v>1.9</v>
      </c>
      <c r="HKK7" s="111">
        <v>2.5</v>
      </c>
      <c r="HKL7" s="111">
        <v>3.9</v>
      </c>
      <c r="HKP7" s="93">
        <v>3.1</v>
      </c>
      <c r="HKQ7" s="93">
        <v>3.4</v>
      </c>
      <c r="HLL7" s="110" t="s">
        <v>140</v>
      </c>
      <c r="HLM7" s="111">
        <v>3.4</v>
      </c>
      <c r="HLN7" s="111">
        <v>2.8</v>
      </c>
      <c r="HLO7" s="111">
        <v>2.1</v>
      </c>
      <c r="HLP7" s="111">
        <v>1.9</v>
      </c>
      <c r="HLQ7" s="111">
        <v>2.5</v>
      </c>
      <c r="HLR7" s="111">
        <v>3.9</v>
      </c>
      <c r="HLV7" s="93">
        <v>3.1</v>
      </c>
      <c r="HLW7" s="93">
        <v>3.4</v>
      </c>
      <c r="HMR7" s="110" t="s">
        <v>140</v>
      </c>
      <c r="HMS7" s="111">
        <v>3.4</v>
      </c>
      <c r="HMT7" s="111">
        <v>2.8</v>
      </c>
      <c r="HMU7" s="111">
        <v>2.1</v>
      </c>
      <c r="HMV7" s="111">
        <v>1.9</v>
      </c>
      <c r="HMW7" s="111">
        <v>2.5</v>
      </c>
      <c r="HMX7" s="111">
        <v>3.9</v>
      </c>
      <c r="HNB7" s="93">
        <v>3.1</v>
      </c>
      <c r="HNC7" s="93">
        <v>3.4</v>
      </c>
      <c r="HNX7" s="110" t="s">
        <v>140</v>
      </c>
      <c r="HNY7" s="111">
        <v>3.4</v>
      </c>
      <c r="HNZ7" s="111">
        <v>2.8</v>
      </c>
      <c r="HOA7" s="111">
        <v>2.1</v>
      </c>
      <c r="HOB7" s="111">
        <v>1.9</v>
      </c>
      <c r="HOC7" s="111">
        <v>2.5</v>
      </c>
      <c r="HOD7" s="111">
        <v>3.9</v>
      </c>
      <c r="HOH7" s="93">
        <v>3.1</v>
      </c>
      <c r="HOI7" s="93">
        <v>3.4</v>
      </c>
      <c r="HPD7" s="110" t="s">
        <v>140</v>
      </c>
      <c r="HPE7" s="111">
        <v>3.4</v>
      </c>
      <c r="HPF7" s="111">
        <v>2.8</v>
      </c>
      <c r="HPG7" s="111">
        <v>2.1</v>
      </c>
      <c r="HPH7" s="111">
        <v>1.9</v>
      </c>
      <c r="HPI7" s="111">
        <v>2.5</v>
      </c>
      <c r="HPJ7" s="111">
        <v>3.9</v>
      </c>
      <c r="HPN7" s="93">
        <v>3.1</v>
      </c>
      <c r="HPO7" s="93">
        <v>3.4</v>
      </c>
      <c r="HQJ7" s="110" t="s">
        <v>140</v>
      </c>
      <c r="HQK7" s="111">
        <v>3.4</v>
      </c>
      <c r="HQL7" s="111">
        <v>2.8</v>
      </c>
      <c r="HQM7" s="111">
        <v>2.1</v>
      </c>
      <c r="HQN7" s="111">
        <v>1.9</v>
      </c>
      <c r="HQO7" s="111">
        <v>2.5</v>
      </c>
      <c r="HQP7" s="111">
        <v>3.9</v>
      </c>
      <c r="HQT7" s="93">
        <v>3.1</v>
      </c>
      <c r="HQU7" s="93">
        <v>3.4</v>
      </c>
      <c r="HRP7" s="110" t="s">
        <v>140</v>
      </c>
      <c r="HRQ7" s="111">
        <v>3.4</v>
      </c>
      <c r="HRR7" s="111">
        <v>2.8</v>
      </c>
      <c r="HRS7" s="111">
        <v>2.1</v>
      </c>
      <c r="HRT7" s="111">
        <v>1.9</v>
      </c>
      <c r="HRU7" s="111">
        <v>2.5</v>
      </c>
      <c r="HRV7" s="111">
        <v>3.9</v>
      </c>
      <c r="HRZ7" s="93">
        <v>3.1</v>
      </c>
      <c r="HSA7" s="93">
        <v>3.4</v>
      </c>
      <c r="HSV7" s="110" t="s">
        <v>140</v>
      </c>
      <c r="HSW7" s="111">
        <v>3.4</v>
      </c>
      <c r="HSX7" s="111">
        <v>2.8</v>
      </c>
      <c r="HSY7" s="111">
        <v>2.1</v>
      </c>
      <c r="HSZ7" s="111">
        <v>1.9</v>
      </c>
      <c r="HTA7" s="111">
        <v>2.5</v>
      </c>
      <c r="HTB7" s="111">
        <v>3.9</v>
      </c>
      <c r="HTF7" s="93">
        <v>3.1</v>
      </c>
      <c r="HTG7" s="93">
        <v>3.4</v>
      </c>
      <c r="HUB7" s="110" t="s">
        <v>140</v>
      </c>
      <c r="HUC7" s="111">
        <v>3.4</v>
      </c>
      <c r="HUD7" s="111">
        <v>2.8</v>
      </c>
      <c r="HUE7" s="111">
        <v>2.1</v>
      </c>
      <c r="HUF7" s="111">
        <v>1.9</v>
      </c>
      <c r="HUG7" s="111">
        <v>2.5</v>
      </c>
      <c r="HUH7" s="111">
        <v>3.9</v>
      </c>
      <c r="HUL7" s="93">
        <v>3.1</v>
      </c>
      <c r="HUM7" s="93">
        <v>3.4</v>
      </c>
      <c r="HVH7" s="110" t="s">
        <v>140</v>
      </c>
      <c r="HVI7" s="111">
        <v>3.4</v>
      </c>
      <c r="HVJ7" s="111">
        <v>2.8</v>
      </c>
      <c r="HVK7" s="111">
        <v>2.1</v>
      </c>
      <c r="HVL7" s="111">
        <v>1.9</v>
      </c>
      <c r="HVM7" s="111">
        <v>2.5</v>
      </c>
      <c r="HVN7" s="111">
        <v>3.9</v>
      </c>
      <c r="HVR7" s="93">
        <v>3.1</v>
      </c>
      <c r="HVS7" s="93">
        <v>3.4</v>
      </c>
      <c r="HWN7" s="110" t="s">
        <v>140</v>
      </c>
      <c r="HWO7" s="111">
        <v>3.4</v>
      </c>
      <c r="HWP7" s="111">
        <v>2.8</v>
      </c>
      <c r="HWQ7" s="111">
        <v>2.1</v>
      </c>
      <c r="HWR7" s="111">
        <v>1.9</v>
      </c>
      <c r="HWS7" s="111">
        <v>2.5</v>
      </c>
      <c r="HWT7" s="111">
        <v>3.9</v>
      </c>
      <c r="HWX7" s="93">
        <v>3.1</v>
      </c>
      <c r="HWY7" s="93">
        <v>3.4</v>
      </c>
      <c r="HXT7" s="110" t="s">
        <v>140</v>
      </c>
      <c r="HXU7" s="111">
        <v>3.4</v>
      </c>
      <c r="HXV7" s="111">
        <v>2.8</v>
      </c>
      <c r="HXW7" s="111">
        <v>2.1</v>
      </c>
      <c r="HXX7" s="111">
        <v>1.9</v>
      </c>
      <c r="HXY7" s="111">
        <v>2.5</v>
      </c>
      <c r="HXZ7" s="111">
        <v>3.9</v>
      </c>
      <c r="HYD7" s="93">
        <v>3.1</v>
      </c>
      <c r="HYE7" s="93">
        <v>3.4</v>
      </c>
      <c r="HYZ7" s="110" t="s">
        <v>140</v>
      </c>
      <c r="HZA7" s="111">
        <v>3.4</v>
      </c>
      <c r="HZB7" s="111">
        <v>2.8</v>
      </c>
      <c r="HZC7" s="111">
        <v>2.1</v>
      </c>
      <c r="HZD7" s="111">
        <v>1.9</v>
      </c>
      <c r="HZE7" s="111">
        <v>2.5</v>
      </c>
      <c r="HZF7" s="111">
        <v>3.9</v>
      </c>
      <c r="HZJ7" s="93">
        <v>3.1</v>
      </c>
      <c r="HZK7" s="93">
        <v>3.4</v>
      </c>
      <c r="IAF7" s="110" t="s">
        <v>140</v>
      </c>
      <c r="IAG7" s="111">
        <v>3.4</v>
      </c>
      <c r="IAH7" s="111">
        <v>2.8</v>
      </c>
      <c r="IAI7" s="111">
        <v>2.1</v>
      </c>
      <c r="IAJ7" s="111">
        <v>1.9</v>
      </c>
      <c r="IAK7" s="111">
        <v>2.5</v>
      </c>
      <c r="IAL7" s="111">
        <v>3.9</v>
      </c>
      <c r="IAP7" s="93">
        <v>3.1</v>
      </c>
      <c r="IAQ7" s="93">
        <v>3.4</v>
      </c>
      <c r="IBL7" s="110" t="s">
        <v>140</v>
      </c>
      <c r="IBM7" s="111">
        <v>3.4</v>
      </c>
      <c r="IBN7" s="111">
        <v>2.8</v>
      </c>
      <c r="IBO7" s="111">
        <v>2.1</v>
      </c>
      <c r="IBP7" s="111">
        <v>1.9</v>
      </c>
      <c r="IBQ7" s="111">
        <v>2.5</v>
      </c>
      <c r="IBR7" s="111">
        <v>3.9</v>
      </c>
      <c r="IBV7" s="93">
        <v>3.1</v>
      </c>
      <c r="IBW7" s="93">
        <v>3.4</v>
      </c>
      <c r="ICR7" s="110" t="s">
        <v>140</v>
      </c>
      <c r="ICS7" s="111">
        <v>3.4</v>
      </c>
      <c r="ICT7" s="111">
        <v>2.8</v>
      </c>
      <c r="ICU7" s="111">
        <v>2.1</v>
      </c>
      <c r="ICV7" s="111">
        <v>1.9</v>
      </c>
      <c r="ICW7" s="111">
        <v>2.5</v>
      </c>
      <c r="ICX7" s="111">
        <v>3.9</v>
      </c>
      <c r="IDB7" s="93">
        <v>3.1</v>
      </c>
      <c r="IDC7" s="93">
        <v>3.4</v>
      </c>
      <c r="IDX7" s="110" t="s">
        <v>140</v>
      </c>
      <c r="IDY7" s="111">
        <v>3.4</v>
      </c>
      <c r="IDZ7" s="111">
        <v>2.8</v>
      </c>
      <c r="IEA7" s="111">
        <v>2.1</v>
      </c>
      <c r="IEB7" s="111">
        <v>1.9</v>
      </c>
      <c r="IEC7" s="111">
        <v>2.5</v>
      </c>
      <c r="IED7" s="111">
        <v>3.9</v>
      </c>
      <c r="IEH7" s="93">
        <v>3.1</v>
      </c>
      <c r="IEI7" s="93">
        <v>3.4</v>
      </c>
      <c r="IFD7" s="110" t="s">
        <v>140</v>
      </c>
      <c r="IFE7" s="111">
        <v>3.4</v>
      </c>
      <c r="IFF7" s="111">
        <v>2.8</v>
      </c>
      <c r="IFG7" s="111">
        <v>2.1</v>
      </c>
      <c r="IFH7" s="111">
        <v>1.9</v>
      </c>
      <c r="IFI7" s="111">
        <v>2.5</v>
      </c>
      <c r="IFJ7" s="111">
        <v>3.9</v>
      </c>
      <c r="IFN7" s="93">
        <v>3.1</v>
      </c>
      <c r="IFO7" s="93">
        <v>3.4</v>
      </c>
      <c r="IGJ7" s="110" t="s">
        <v>140</v>
      </c>
      <c r="IGK7" s="111">
        <v>3.4</v>
      </c>
      <c r="IGL7" s="111">
        <v>2.8</v>
      </c>
      <c r="IGM7" s="111">
        <v>2.1</v>
      </c>
      <c r="IGN7" s="111">
        <v>1.9</v>
      </c>
      <c r="IGO7" s="111">
        <v>2.5</v>
      </c>
      <c r="IGP7" s="111">
        <v>3.9</v>
      </c>
      <c r="IGT7" s="93">
        <v>3.1</v>
      </c>
      <c r="IGU7" s="93">
        <v>3.4</v>
      </c>
      <c r="IHP7" s="110" t="s">
        <v>140</v>
      </c>
      <c r="IHQ7" s="111">
        <v>3.4</v>
      </c>
      <c r="IHR7" s="111">
        <v>2.8</v>
      </c>
      <c r="IHS7" s="111">
        <v>2.1</v>
      </c>
      <c r="IHT7" s="111">
        <v>1.9</v>
      </c>
      <c r="IHU7" s="111">
        <v>2.5</v>
      </c>
      <c r="IHV7" s="111">
        <v>3.9</v>
      </c>
      <c r="IHZ7" s="93">
        <v>3.1</v>
      </c>
      <c r="IIA7" s="93">
        <v>3.4</v>
      </c>
      <c r="IIV7" s="110" t="s">
        <v>140</v>
      </c>
      <c r="IIW7" s="111">
        <v>3.4</v>
      </c>
      <c r="IIX7" s="111">
        <v>2.8</v>
      </c>
      <c r="IIY7" s="111">
        <v>2.1</v>
      </c>
      <c r="IIZ7" s="111">
        <v>1.9</v>
      </c>
      <c r="IJA7" s="111">
        <v>2.5</v>
      </c>
      <c r="IJB7" s="111">
        <v>3.9</v>
      </c>
      <c r="IJF7" s="93">
        <v>3.1</v>
      </c>
      <c r="IJG7" s="93">
        <v>3.4</v>
      </c>
      <c r="IKB7" s="110" t="s">
        <v>140</v>
      </c>
      <c r="IKC7" s="111">
        <v>3.4</v>
      </c>
      <c r="IKD7" s="111">
        <v>2.8</v>
      </c>
      <c r="IKE7" s="111">
        <v>2.1</v>
      </c>
      <c r="IKF7" s="111">
        <v>1.9</v>
      </c>
      <c r="IKG7" s="111">
        <v>2.5</v>
      </c>
      <c r="IKH7" s="111">
        <v>3.9</v>
      </c>
      <c r="IKL7" s="93">
        <v>3.1</v>
      </c>
      <c r="IKM7" s="93">
        <v>3.4</v>
      </c>
      <c r="ILH7" s="110" t="s">
        <v>140</v>
      </c>
      <c r="ILI7" s="111">
        <v>3.4</v>
      </c>
      <c r="ILJ7" s="111">
        <v>2.8</v>
      </c>
      <c r="ILK7" s="111">
        <v>2.1</v>
      </c>
      <c r="ILL7" s="111">
        <v>1.9</v>
      </c>
      <c r="ILM7" s="111">
        <v>2.5</v>
      </c>
      <c r="ILN7" s="111">
        <v>3.9</v>
      </c>
      <c r="ILR7" s="93">
        <v>3.1</v>
      </c>
      <c r="ILS7" s="93">
        <v>3.4</v>
      </c>
      <c r="IMN7" s="110" t="s">
        <v>140</v>
      </c>
      <c r="IMO7" s="111">
        <v>3.4</v>
      </c>
      <c r="IMP7" s="111">
        <v>2.8</v>
      </c>
      <c r="IMQ7" s="111">
        <v>2.1</v>
      </c>
      <c r="IMR7" s="111">
        <v>1.9</v>
      </c>
      <c r="IMS7" s="111">
        <v>2.5</v>
      </c>
      <c r="IMT7" s="111">
        <v>3.9</v>
      </c>
      <c r="IMX7" s="93">
        <v>3.1</v>
      </c>
      <c r="IMY7" s="93">
        <v>3.4</v>
      </c>
      <c r="INT7" s="110" t="s">
        <v>140</v>
      </c>
      <c r="INU7" s="111">
        <v>3.4</v>
      </c>
      <c r="INV7" s="111">
        <v>2.8</v>
      </c>
      <c r="INW7" s="111">
        <v>2.1</v>
      </c>
      <c r="INX7" s="111">
        <v>1.9</v>
      </c>
      <c r="INY7" s="111">
        <v>2.5</v>
      </c>
      <c r="INZ7" s="111">
        <v>3.9</v>
      </c>
      <c r="IOD7" s="93">
        <v>3.1</v>
      </c>
      <c r="IOE7" s="93">
        <v>3.4</v>
      </c>
      <c r="IOZ7" s="110" t="s">
        <v>140</v>
      </c>
      <c r="IPA7" s="111">
        <v>3.4</v>
      </c>
      <c r="IPB7" s="111">
        <v>2.8</v>
      </c>
      <c r="IPC7" s="111">
        <v>2.1</v>
      </c>
      <c r="IPD7" s="111">
        <v>1.9</v>
      </c>
      <c r="IPE7" s="111">
        <v>2.5</v>
      </c>
      <c r="IPF7" s="111">
        <v>3.9</v>
      </c>
      <c r="IPJ7" s="93">
        <v>3.1</v>
      </c>
      <c r="IPK7" s="93">
        <v>3.4</v>
      </c>
      <c r="IQF7" s="110" t="s">
        <v>140</v>
      </c>
      <c r="IQG7" s="111">
        <v>3.4</v>
      </c>
      <c r="IQH7" s="111">
        <v>2.8</v>
      </c>
      <c r="IQI7" s="111">
        <v>2.1</v>
      </c>
      <c r="IQJ7" s="111">
        <v>1.9</v>
      </c>
      <c r="IQK7" s="111">
        <v>2.5</v>
      </c>
      <c r="IQL7" s="111">
        <v>3.9</v>
      </c>
      <c r="IQP7" s="93">
        <v>3.1</v>
      </c>
      <c r="IQQ7" s="93">
        <v>3.4</v>
      </c>
      <c r="IRL7" s="110" t="s">
        <v>140</v>
      </c>
      <c r="IRM7" s="111">
        <v>3.4</v>
      </c>
      <c r="IRN7" s="111">
        <v>2.8</v>
      </c>
      <c r="IRO7" s="111">
        <v>2.1</v>
      </c>
      <c r="IRP7" s="111">
        <v>1.9</v>
      </c>
      <c r="IRQ7" s="111">
        <v>2.5</v>
      </c>
      <c r="IRR7" s="111">
        <v>3.9</v>
      </c>
      <c r="IRV7" s="93">
        <v>3.1</v>
      </c>
      <c r="IRW7" s="93">
        <v>3.4</v>
      </c>
      <c r="ISR7" s="110" t="s">
        <v>140</v>
      </c>
      <c r="ISS7" s="111">
        <v>3.4</v>
      </c>
      <c r="IST7" s="111">
        <v>2.8</v>
      </c>
      <c r="ISU7" s="111">
        <v>2.1</v>
      </c>
      <c r="ISV7" s="111">
        <v>1.9</v>
      </c>
      <c r="ISW7" s="111">
        <v>2.5</v>
      </c>
      <c r="ISX7" s="111">
        <v>3.9</v>
      </c>
      <c r="ITB7" s="93">
        <v>3.1</v>
      </c>
      <c r="ITC7" s="93">
        <v>3.4</v>
      </c>
      <c r="ITX7" s="110" t="s">
        <v>140</v>
      </c>
      <c r="ITY7" s="111">
        <v>3.4</v>
      </c>
      <c r="ITZ7" s="111">
        <v>2.8</v>
      </c>
      <c r="IUA7" s="111">
        <v>2.1</v>
      </c>
      <c r="IUB7" s="111">
        <v>1.9</v>
      </c>
      <c r="IUC7" s="111">
        <v>2.5</v>
      </c>
      <c r="IUD7" s="111">
        <v>3.9</v>
      </c>
      <c r="IUH7" s="93">
        <v>3.1</v>
      </c>
      <c r="IUI7" s="93">
        <v>3.4</v>
      </c>
      <c r="IVD7" s="110" t="s">
        <v>140</v>
      </c>
      <c r="IVE7" s="111">
        <v>3.4</v>
      </c>
      <c r="IVF7" s="111">
        <v>2.8</v>
      </c>
      <c r="IVG7" s="111">
        <v>2.1</v>
      </c>
      <c r="IVH7" s="111">
        <v>1.9</v>
      </c>
      <c r="IVI7" s="111">
        <v>2.5</v>
      </c>
      <c r="IVJ7" s="111">
        <v>3.9</v>
      </c>
      <c r="IVN7" s="93">
        <v>3.1</v>
      </c>
      <c r="IVO7" s="93">
        <v>3.4</v>
      </c>
      <c r="IWJ7" s="110" t="s">
        <v>140</v>
      </c>
      <c r="IWK7" s="111">
        <v>3.4</v>
      </c>
      <c r="IWL7" s="111">
        <v>2.8</v>
      </c>
      <c r="IWM7" s="111">
        <v>2.1</v>
      </c>
      <c r="IWN7" s="111">
        <v>1.9</v>
      </c>
      <c r="IWO7" s="111">
        <v>2.5</v>
      </c>
      <c r="IWP7" s="111">
        <v>3.9</v>
      </c>
      <c r="IWT7" s="93">
        <v>3.1</v>
      </c>
      <c r="IWU7" s="93">
        <v>3.4</v>
      </c>
      <c r="IXP7" s="110" t="s">
        <v>140</v>
      </c>
      <c r="IXQ7" s="111">
        <v>3.4</v>
      </c>
      <c r="IXR7" s="111">
        <v>2.8</v>
      </c>
      <c r="IXS7" s="111">
        <v>2.1</v>
      </c>
      <c r="IXT7" s="111">
        <v>1.9</v>
      </c>
      <c r="IXU7" s="111">
        <v>2.5</v>
      </c>
      <c r="IXV7" s="111">
        <v>3.9</v>
      </c>
      <c r="IXZ7" s="93">
        <v>3.1</v>
      </c>
      <c r="IYA7" s="93">
        <v>3.4</v>
      </c>
      <c r="IYV7" s="110" t="s">
        <v>140</v>
      </c>
      <c r="IYW7" s="111">
        <v>3.4</v>
      </c>
      <c r="IYX7" s="111">
        <v>2.8</v>
      </c>
      <c r="IYY7" s="111">
        <v>2.1</v>
      </c>
      <c r="IYZ7" s="111">
        <v>1.9</v>
      </c>
      <c r="IZA7" s="111">
        <v>2.5</v>
      </c>
      <c r="IZB7" s="111">
        <v>3.9</v>
      </c>
      <c r="IZF7" s="93">
        <v>3.1</v>
      </c>
      <c r="IZG7" s="93">
        <v>3.4</v>
      </c>
      <c r="JAB7" s="110" t="s">
        <v>140</v>
      </c>
      <c r="JAC7" s="111">
        <v>3.4</v>
      </c>
      <c r="JAD7" s="111">
        <v>2.8</v>
      </c>
      <c r="JAE7" s="111">
        <v>2.1</v>
      </c>
      <c r="JAF7" s="111">
        <v>1.9</v>
      </c>
      <c r="JAG7" s="111">
        <v>2.5</v>
      </c>
      <c r="JAH7" s="111">
        <v>3.9</v>
      </c>
      <c r="JAL7" s="93">
        <v>3.1</v>
      </c>
      <c r="JAM7" s="93">
        <v>3.4</v>
      </c>
      <c r="JBH7" s="110" t="s">
        <v>140</v>
      </c>
      <c r="JBI7" s="111">
        <v>3.4</v>
      </c>
      <c r="JBJ7" s="111">
        <v>2.8</v>
      </c>
      <c r="JBK7" s="111">
        <v>2.1</v>
      </c>
      <c r="JBL7" s="111">
        <v>1.9</v>
      </c>
      <c r="JBM7" s="111">
        <v>2.5</v>
      </c>
      <c r="JBN7" s="111">
        <v>3.9</v>
      </c>
      <c r="JBR7" s="93">
        <v>3.1</v>
      </c>
      <c r="JBS7" s="93">
        <v>3.4</v>
      </c>
      <c r="JCN7" s="110" t="s">
        <v>140</v>
      </c>
      <c r="JCO7" s="111">
        <v>3.4</v>
      </c>
      <c r="JCP7" s="111">
        <v>2.8</v>
      </c>
      <c r="JCQ7" s="111">
        <v>2.1</v>
      </c>
      <c r="JCR7" s="111">
        <v>1.9</v>
      </c>
      <c r="JCS7" s="111">
        <v>2.5</v>
      </c>
      <c r="JCT7" s="111">
        <v>3.9</v>
      </c>
      <c r="JCX7" s="93">
        <v>3.1</v>
      </c>
      <c r="JCY7" s="93">
        <v>3.4</v>
      </c>
      <c r="JDT7" s="110" t="s">
        <v>140</v>
      </c>
      <c r="JDU7" s="111">
        <v>3.4</v>
      </c>
      <c r="JDV7" s="111">
        <v>2.8</v>
      </c>
      <c r="JDW7" s="111">
        <v>2.1</v>
      </c>
      <c r="JDX7" s="111">
        <v>1.9</v>
      </c>
      <c r="JDY7" s="111">
        <v>2.5</v>
      </c>
      <c r="JDZ7" s="111">
        <v>3.9</v>
      </c>
      <c r="JED7" s="93">
        <v>3.1</v>
      </c>
      <c r="JEE7" s="93">
        <v>3.4</v>
      </c>
      <c r="JEZ7" s="110" t="s">
        <v>140</v>
      </c>
      <c r="JFA7" s="111">
        <v>3.4</v>
      </c>
      <c r="JFB7" s="111">
        <v>2.8</v>
      </c>
      <c r="JFC7" s="111">
        <v>2.1</v>
      </c>
      <c r="JFD7" s="111">
        <v>1.9</v>
      </c>
      <c r="JFE7" s="111">
        <v>2.5</v>
      </c>
      <c r="JFF7" s="111">
        <v>3.9</v>
      </c>
      <c r="JFJ7" s="93">
        <v>3.1</v>
      </c>
      <c r="JFK7" s="93">
        <v>3.4</v>
      </c>
      <c r="JGF7" s="110" t="s">
        <v>140</v>
      </c>
      <c r="JGG7" s="111">
        <v>3.4</v>
      </c>
      <c r="JGH7" s="111">
        <v>2.8</v>
      </c>
      <c r="JGI7" s="111">
        <v>2.1</v>
      </c>
      <c r="JGJ7" s="111">
        <v>1.9</v>
      </c>
      <c r="JGK7" s="111">
        <v>2.5</v>
      </c>
      <c r="JGL7" s="111">
        <v>3.9</v>
      </c>
      <c r="JGP7" s="93">
        <v>3.1</v>
      </c>
      <c r="JGQ7" s="93">
        <v>3.4</v>
      </c>
      <c r="JHL7" s="110" t="s">
        <v>140</v>
      </c>
      <c r="JHM7" s="111">
        <v>3.4</v>
      </c>
      <c r="JHN7" s="111">
        <v>2.8</v>
      </c>
      <c r="JHO7" s="111">
        <v>2.1</v>
      </c>
      <c r="JHP7" s="111">
        <v>1.9</v>
      </c>
      <c r="JHQ7" s="111">
        <v>2.5</v>
      </c>
      <c r="JHR7" s="111">
        <v>3.9</v>
      </c>
      <c r="JHV7" s="93">
        <v>3.1</v>
      </c>
      <c r="JHW7" s="93">
        <v>3.4</v>
      </c>
      <c r="JIR7" s="110" t="s">
        <v>140</v>
      </c>
      <c r="JIS7" s="111">
        <v>3.4</v>
      </c>
      <c r="JIT7" s="111">
        <v>2.8</v>
      </c>
      <c r="JIU7" s="111">
        <v>2.1</v>
      </c>
      <c r="JIV7" s="111">
        <v>1.9</v>
      </c>
      <c r="JIW7" s="111">
        <v>2.5</v>
      </c>
      <c r="JIX7" s="111">
        <v>3.9</v>
      </c>
      <c r="JJB7" s="93">
        <v>3.1</v>
      </c>
      <c r="JJC7" s="93">
        <v>3.4</v>
      </c>
      <c r="JJX7" s="110" t="s">
        <v>140</v>
      </c>
      <c r="JJY7" s="111">
        <v>3.4</v>
      </c>
      <c r="JJZ7" s="111">
        <v>2.8</v>
      </c>
      <c r="JKA7" s="111">
        <v>2.1</v>
      </c>
      <c r="JKB7" s="111">
        <v>1.9</v>
      </c>
      <c r="JKC7" s="111">
        <v>2.5</v>
      </c>
      <c r="JKD7" s="111">
        <v>3.9</v>
      </c>
      <c r="JKH7" s="93">
        <v>3.1</v>
      </c>
      <c r="JKI7" s="93">
        <v>3.4</v>
      </c>
      <c r="JLD7" s="110" t="s">
        <v>140</v>
      </c>
      <c r="JLE7" s="111">
        <v>3.4</v>
      </c>
      <c r="JLF7" s="111">
        <v>2.8</v>
      </c>
      <c r="JLG7" s="111">
        <v>2.1</v>
      </c>
      <c r="JLH7" s="111">
        <v>1.9</v>
      </c>
      <c r="JLI7" s="111">
        <v>2.5</v>
      </c>
      <c r="JLJ7" s="111">
        <v>3.9</v>
      </c>
      <c r="JLN7" s="93">
        <v>3.1</v>
      </c>
      <c r="JLO7" s="93">
        <v>3.4</v>
      </c>
      <c r="JMJ7" s="110" t="s">
        <v>140</v>
      </c>
      <c r="JMK7" s="111">
        <v>3.4</v>
      </c>
      <c r="JML7" s="111">
        <v>2.8</v>
      </c>
      <c r="JMM7" s="111">
        <v>2.1</v>
      </c>
      <c r="JMN7" s="111">
        <v>1.9</v>
      </c>
      <c r="JMO7" s="111">
        <v>2.5</v>
      </c>
      <c r="JMP7" s="111">
        <v>3.9</v>
      </c>
      <c r="JMT7" s="93">
        <v>3.1</v>
      </c>
      <c r="JMU7" s="93">
        <v>3.4</v>
      </c>
      <c r="JNP7" s="110" t="s">
        <v>140</v>
      </c>
      <c r="JNQ7" s="111">
        <v>3.4</v>
      </c>
      <c r="JNR7" s="111">
        <v>2.8</v>
      </c>
      <c r="JNS7" s="111">
        <v>2.1</v>
      </c>
      <c r="JNT7" s="111">
        <v>1.9</v>
      </c>
      <c r="JNU7" s="111">
        <v>2.5</v>
      </c>
      <c r="JNV7" s="111">
        <v>3.9</v>
      </c>
      <c r="JNZ7" s="93">
        <v>3.1</v>
      </c>
      <c r="JOA7" s="93">
        <v>3.4</v>
      </c>
      <c r="JOV7" s="110" t="s">
        <v>140</v>
      </c>
      <c r="JOW7" s="111">
        <v>3.4</v>
      </c>
      <c r="JOX7" s="111">
        <v>2.8</v>
      </c>
      <c r="JOY7" s="111">
        <v>2.1</v>
      </c>
      <c r="JOZ7" s="111">
        <v>1.9</v>
      </c>
      <c r="JPA7" s="111">
        <v>2.5</v>
      </c>
      <c r="JPB7" s="111">
        <v>3.9</v>
      </c>
      <c r="JPF7" s="93">
        <v>3.1</v>
      </c>
      <c r="JPG7" s="93">
        <v>3.4</v>
      </c>
      <c r="JQB7" s="110" t="s">
        <v>140</v>
      </c>
      <c r="JQC7" s="111">
        <v>3.4</v>
      </c>
      <c r="JQD7" s="111">
        <v>2.8</v>
      </c>
      <c r="JQE7" s="111">
        <v>2.1</v>
      </c>
      <c r="JQF7" s="111">
        <v>1.9</v>
      </c>
      <c r="JQG7" s="111">
        <v>2.5</v>
      </c>
      <c r="JQH7" s="111">
        <v>3.9</v>
      </c>
      <c r="JQL7" s="93">
        <v>3.1</v>
      </c>
      <c r="JQM7" s="93">
        <v>3.4</v>
      </c>
      <c r="JRH7" s="110" t="s">
        <v>140</v>
      </c>
      <c r="JRI7" s="111">
        <v>3.4</v>
      </c>
      <c r="JRJ7" s="111">
        <v>2.8</v>
      </c>
      <c r="JRK7" s="111">
        <v>2.1</v>
      </c>
      <c r="JRL7" s="111">
        <v>1.9</v>
      </c>
      <c r="JRM7" s="111">
        <v>2.5</v>
      </c>
      <c r="JRN7" s="111">
        <v>3.9</v>
      </c>
      <c r="JRR7" s="93">
        <v>3.1</v>
      </c>
      <c r="JRS7" s="93">
        <v>3.4</v>
      </c>
      <c r="JSN7" s="110" t="s">
        <v>140</v>
      </c>
      <c r="JSO7" s="111">
        <v>3.4</v>
      </c>
      <c r="JSP7" s="111">
        <v>2.8</v>
      </c>
      <c r="JSQ7" s="111">
        <v>2.1</v>
      </c>
      <c r="JSR7" s="111">
        <v>1.9</v>
      </c>
      <c r="JSS7" s="111">
        <v>2.5</v>
      </c>
      <c r="JST7" s="111">
        <v>3.9</v>
      </c>
      <c r="JSX7" s="93">
        <v>3.1</v>
      </c>
      <c r="JSY7" s="93">
        <v>3.4</v>
      </c>
      <c r="JTT7" s="110" t="s">
        <v>140</v>
      </c>
      <c r="JTU7" s="111">
        <v>3.4</v>
      </c>
      <c r="JTV7" s="111">
        <v>2.8</v>
      </c>
      <c r="JTW7" s="111">
        <v>2.1</v>
      </c>
      <c r="JTX7" s="111">
        <v>1.9</v>
      </c>
      <c r="JTY7" s="111">
        <v>2.5</v>
      </c>
      <c r="JTZ7" s="111">
        <v>3.9</v>
      </c>
      <c r="JUD7" s="93">
        <v>3.1</v>
      </c>
      <c r="JUE7" s="93">
        <v>3.4</v>
      </c>
      <c r="JUZ7" s="110" t="s">
        <v>140</v>
      </c>
      <c r="JVA7" s="111">
        <v>3.4</v>
      </c>
      <c r="JVB7" s="111">
        <v>2.8</v>
      </c>
      <c r="JVC7" s="111">
        <v>2.1</v>
      </c>
      <c r="JVD7" s="111">
        <v>1.9</v>
      </c>
      <c r="JVE7" s="111">
        <v>2.5</v>
      </c>
      <c r="JVF7" s="111">
        <v>3.9</v>
      </c>
      <c r="JVJ7" s="93">
        <v>3.1</v>
      </c>
      <c r="JVK7" s="93">
        <v>3.4</v>
      </c>
      <c r="JWF7" s="110" t="s">
        <v>140</v>
      </c>
      <c r="JWG7" s="111">
        <v>3.4</v>
      </c>
      <c r="JWH7" s="111">
        <v>2.8</v>
      </c>
      <c r="JWI7" s="111">
        <v>2.1</v>
      </c>
      <c r="JWJ7" s="111">
        <v>1.9</v>
      </c>
      <c r="JWK7" s="111">
        <v>2.5</v>
      </c>
      <c r="JWL7" s="111">
        <v>3.9</v>
      </c>
      <c r="JWP7" s="93">
        <v>3.1</v>
      </c>
      <c r="JWQ7" s="93">
        <v>3.4</v>
      </c>
      <c r="JXL7" s="110" t="s">
        <v>140</v>
      </c>
      <c r="JXM7" s="111">
        <v>3.4</v>
      </c>
      <c r="JXN7" s="111">
        <v>2.8</v>
      </c>
      <c r="JXO7" s="111">
        <v>2.1</v>
      </c>
      <c r="JXP7" s="111">
        <v>1.9</v>
      </c>
      <c r="JXQ7" s="111">
        <v>2.5</v>
      </c>
      <c r="JXR7" s="111">
        <v>3.9</v>
      </c>
      <c r="JXV7" s="93">
        <v>3.1</v>
      </c>
      <c r="JXW7" s="93">
        <v>3.4</v>
      </c>
      <c r="JYR7" s="110" t="s">
        <v>140</v>
      </c>
      <c r="JYS7" s="111">
        <v>3.4</v>
      </c>
      <c r="JYT7" s="111">
        <v>2.8</v>
      </c>
      <c r="JYU7" s="111">
        <v>2.1</v>
      </c>
      <c r="JYV7" s="111">
        <v>1.9</v>
      </c>
      <c r="JYW7" s="111">
        <v>2.5</v>
      </c>
      <c r="JYX7" s="111">
        <v>3.9</v>
      </c>
      <c r="JZB7" s="93">
        <v>3.1</v>
      </c>
      <c r="JZC7" s="93">
        <v>3.4</v>
      </c>
      <c r="JZX7" s="110" t="s">
        <v>140</v>
      </c>
      <c r="JZY7" s="111">
        <v>3.4</v>
      </c>
      <c r="JZZ7" s="111">
        <v>2.8</v>
      </c>
      <c r="KAA7" s="111">
        <v>2.1</v>
      </c>
      <c r="KAB7" s="111">
        <v>1.9</v>
      </c>
      <c r="KAC7" s="111">
        <v>2.5</v>
      </c>
      <c r="KAD7" s="111">
        <v>3.9</v>
      </c>
      <c r="KAH7" s="93">
        <v>3.1</v>
      </c>
      <c r="KAI7" s="93">
        <v>3.4</v>
      </c>
      <c r="KBD7" s="110" t="s">
        <v>140</v>
      </c>
      <c r="KBE7" s="111">
        <v>3.4</v>
      </c>
      <c r="KBF7" s="111">
        <v>2.8</v>
      </c>
      <c r="KBG7" s="111">
        <v>2.1</v>
      </c>
      <c r="KBH7" s="111">
        <v>1.9</v>
      </c>
      <c r="KBI7" s="111">
        <v>2.5</v>
      </c>
      <c r="KBJ7" s="111">
        <v>3.9</v>
      </c>
      <c r="KBN7" s="93">
        <v>3.1</v>
      </c>
      <c r="KBO7" s="93">
        <v>3.4</v>
      </c>
      <c r="KCJ7" s="110" t="s">
        <v>140</v>
      </c>
      <c r="KCK7" s="111">
        <v>3.4</v>
      </c>
      <c r="KCL7" s="111">
        <v>2.8</v>
      </c>
      <c r="KCM7" s="111">
        <v>2.1</v>
      </c>
      <c r="KCN7" s="111">
        <v>1.9</v>
      </c>
      <c r="KCO7" s="111">
        <v>2.5</v>
      </c>
      <c r="KCP7" s="111">
        <v>3.9</v>
      </c>
      <c r="KCT7" s="93">
        <v>3.1</v>
      </c>
      <c r="KCU7" s="93">
        <v>3.4</v>
      </c>
      <c r="KDP7" s="110" t="s">
        <v>140</v>
      </c>
      <c r="KDQ7" s="111">
        <v>3.4</v>
      </c>
      <c r="KDR7" s="111">
        <v>2.8</v>
      </c>
      <c r="KDS7" s="111">
        <v>2.1</v>
      </c>
      <c r="KDT7" s="111">
        <v>1.9</v>
      </c>
      <c r="KDU7" s="111">
        <v>2.5</v>
      </c>
      <c r="KDV7" s="111">
        <v>3.9</v>
      </c>
      <c r="KDZ7" s="93">
        <v>3.1</v>
      </c>
      <c r="KEA7" s="93">
        <v>3.4</v>
      </c>
      <c r="KEV7" s="110" t="s">
        <v>140</v>
      </c>
      <c r="KEW7" s="111">
        <v>3.4</v>
      </c>
      <c r="KEX7" s="111">
        <v>2.8</v>
      </c>
      <c r="KEY7" s="111">
        <v>2.1</v>
      </c>
      <c r="KEZ7" s="111">
        <v>1.9</v>
      </c>
      <c r="KFA7" s="111">
        <v>2.5</v>
      </c>
      <c r="KFB7" s="111">
        <v>3.9</v>
      </c>
      <c r="KFF7" s="93">
        <v>3.1</v>
      </c>
      <c r="KFG7" s="93">
        <v>3.4</v>
      </c>
      <c r="KGB7" s="110" t="s">
        <v>140</v>
      </c>
      <c r="KGC7" s="111">
        <v>3.4</v>
      </c>
      <c r="KGD7" s="111">
        <v>2.8</v>
      </c>
      <c r="KGE7" s="111">
        <v>2.1</v>
      </c>
      <c r="KGF7" s="111">
        <v>1.9</v>
      </c>
      <c r="KGG7" s="111">
        <v>2.5</v>
      </c>
      <c r="KGH7" s="111">
        <v>3.9</v>
      </c>
      <c r="KGL7" s="93">
        <v>3.1</v>
      </c>
      <c r="KGM7" s="93">
        <v>3.4</v>
      </c>
      <c r="KHH7" s="110" t="s">
        <v>140</v>
      </c>
      <c r="KHI7" s="111">
        <v>3.4</v>
      </c>
      <c r="KHJ7" s="111">
        <v>2.8</v>
      </c>
      <c r="KHK7" s="111">
        <v>2.1</v>
      </c>
      <c r="KHL7" s="111">
        <v>1.9</v>
      </c>
      <c r="KHM7" s="111">
        <v>2.5</v>
      </c>
      <c r="KHN7" s="111">
        <v>3.9</v>
      </c>
      <c r="KHR7" s="93">
        <v>3.1</v>
      </c>
      <c r="KHS7" s="93">
        <v>3.4</v>
      </c>
      <c r="KIN7" s="110" t="s">
        <v>140</v>
      </c>
      <c r="KIO7" s="111">
        <v>3.4</v>
      </c>
      <c r="KIP7" s="111">
        <v>2.8</v>
      </c>
      <c r="KIQ7" s="111">
        <v>2.1</v>
      </c>
      <c r="KIR7" s="111">
        <v>1.9</v>
      </c>
      <c r="KIS7" s="111">
        <v>2.5</v>
      </c>
      <c r="KIT7" s="111">
        <v>3.9</v>
      </c>
      <c r="KIX7" s="93">
        <v>3.1</v>
      </c>
      <c r="KIY7" s="93">
        <v>3.4</v>
      </c>
      <c r="KJT7" s="110" t="s">
        <v>140</v>
      </c>
      <c r="KJU7" s="111">
        <v>3.4</v>
      </c>
      <c r="KJV7" s="111">
        <v>2.8</v>
      </c>
      <c r="KJW7" s="111">
        <v>2.1</v>
      </c>
      <c r="KJX7" s="111">
        <v>1.9</v>
      </c>
      <c r="KJY7" s="111">
        <v>2.5</v>
      </c>
      <c r="KJZ7" s="111">
        <v>3.9</v>
      </c>
      <c r="KKD7" s="93">
        <v>3.1</v>
      </c>
      <c r="KKE7" s="93">
        <v>3.4</v>
      </c>
      <c r="KKZ7" s="110" t="s">
        <v>140</v>
      </c>
      <c r="KLA7" s="111">
        <v>3.4</v>
      </c>
      <c r="KLB7" s="111">
        <v>2.8</v>
      </c>
      <c r="KLC7" s="111">
        <v>2.1</v>
      </c>
      <c r="KLD7" s="111">
        <v>1.9</v>
      </c>
      <c r="KLE7" s="111">
        <v>2.5</v>
      </c>
      <c r="KLF7" s="111">
        <v>3.9</v>
      </c>
      <c r="KLJ7" s="93">
        <v>3.1</v>
      </c>
      <c r="KLK7" s="93">
        <v>3.4</v>
      </c>
      <c r="KMF7" s="110" t="s">
        <v>140</v>
      </c>
      <c r="KMG7" s="111">
        <v>3.4</v>
      </c>
      <c r="KMH7" s="111">
        <v>2.8</v>
      </c>
      <c r="KMI7" s="111">
        <v>2.1</v>
      </c>
      <c r="KMJ7" s="111">
        <v>1.9</v>
      </c>
      <c r="KMK7" s="111">
        <v>2.5</v>
      </c>
      <c r="KML7" s="111">
        <v>3.9</v>
      </c>
      <c r="KMP7" s="93">
        <v>3.1</v>
      </c>
      <c r="KMQ7" s="93">
        <v>3.4</v>
      </c>
      <c r="KNL7" s="110" t="s">
        <v>140</v>
      </c>
      <c r="KNM7" s="111">
        <v>3.4</v>
      </c>
      <c r="KNN7" s="111">
        <v>2.8</v>
      </c>
      <c r="KNO7" s="111">
        <v>2.1</v>
      </c>
      <c r="KNP7" s="111">
        <v>1.9</v>
      </c>
      <c r="KNQ7" s="111">
        <v>2.5</v>
      </c>
      <c r="KNR7" s="111">
        <v>3.9</v>
      </c>
      <c r="KNV7" s="93">
        <v>3.1</v>
      </c>
      <c r="KNW7" s="93">
        <v>3.4</v>
      </c>
      <c r="KOR7" s="110" t="s">
        <v>140</v>
      </c>
      <c r="KOS7" s="111">
        <v>3.4</v>
      </c>
      <c r="KOT7" s="111">
        <v>2.8</v>
      </c>
      <c r="KOU7" s="111">
        <v>2.1</v>
      </c>
      <c r="KOV7" s="111">
        <v>1.9</v>
      </c>
      <c r="KOW7" s="111">
        <v>2.5</v>
      </c>
      <c r="KOX7" s="111">
        <v>3.9</v>
      </c>
      <c r="KPB7" s="93">
        <v>3.1</v>
      </c>
      <c r="KPC7" s="93">
        <v>3.4</v>
      </c>
      <c r="KPX7" s="110" t="s">
        <v>140</v>
      </c>
      <c r="KPY7" s="111">
        <v>3.4</v>
      </c>
      <c r="KPZ7" s="111">
        <v>2.8</v>
      </c>
      <c r="KQA7" s="111">
        <v>2.1</v>
      </c>
      <c r="KQB7" s="111">
        <v>1.9</v>
      </c>
      <c r="KQC7" s="111">
        <v>2.5</v>
      </c>
      <c r="KQD7" s="111">
        <v>3.9</v>
      </c>
      <c r="KQH7" s="93">
        <v>3.1</v>
      </c>
      <c r="KQI7" s="93">
        <v>3.4</v>
      </c>
      <c r="KRD7" s="110" t="s">
        <v>140</v>
      </c>
      <c r="KRE7" s="111">
        <v>3.4</v>
      </c>
      <c r="KRF7" s="111">
        <v>2.8</v>
      </c>
      <c r="KRG7" s="111">
        <v>2.1</v>
      </c>
      <c r="KRH7" s="111">
        <v>1.9</v>
      </c>
      <c r="KRI7" s="111">
        <v>2.5</v>
      </c>
      <c r="KRJ7" s="111">
        <v>3.9</v>
      </c>
      <c r="KRN7" s="93">
        <v>3.1</v>
      </c>
      <c r="KRO7" s="93">
        <v>3.4</v>
      </c>
      <c r="KSJ7" s="110" t="s">
        <v>140</v>
      </c>
      <c r="KSK7" s="111">
        <v>3.4</v>
      </c>
      <c r="KSL7" s="111">
        <v>2.8</v>
      </c>
      <c r="KSM7" s="111">
        <v>2.1</v>
      </c>
      <c r="KSN7" s="111">
        <v>1.9</v>
      </c>
      <c r="KSO7" s="111">
        <v>2.5</v>
      </c>
      <c r="KSP7" s="111">
        <v>3.9</v>
      </c>
      <c r="KST7" s="93">
        <v>3.1</v>
      </c>
      <c r="KSU7" s="93">
        <v>3.4</v>
      </c>
      <c r="KTP7" s="110" t="s">
        <v>140</v>
      </c>
      <c r="KTQ7" s="111">
        <v>3.4</v>
      </c>
      <c r="KTR7" s="111">
        <v>2.8</v>
      </c>
      <c r="KTS7" s="111">
        <v>2.1</v>
      </c>
      <c r="KTT7" s="111">
        <v>1.9</v>
      </c>
      <c r="KTU7" s="111">
        <v>2.5</v>
      </c>
      <c r="KTV7" s="111">
        <v>3.9</v>
      </c>
      <c r="KTZ7" s="93">
        <v>3.1</v>
      </c>
      <c r="KUA7" s="93">
        <v>3.4</v>
      </c>
      <c r="KUV7" s="110" t="s">
        <v>140</v>
      </c>
      <c r="KUW7" s="111">
        <v>3.4</v>
      </c>
      <c r="KUX7" s="111">
        <v>2.8</v>
      </c>
      <c r="KUY7" s="111">
        <v>2.1</v>
      </c>
      <c r="KUZ7" s="111">
        <v>1.9</v>
      </c>
      <c r="KVA7" s="111">
        <v>2.5</v>
      </c>
      <c r="KVB7" s="111">
        <v>3.9</v>
      </c>
      <c r="KVF7" s="93">
        <v>3.1</v>
      </c>
      <c r="KVG7" s="93">
        <v>3.4</v>
      </c>
      <c r="KWB7" s="110" t="s">
        <v>140</v>
      </c>
      <c r="KWC7" s="111">
        <v>3.4</v>
      </c>
      <c r="KWD7" s="111">
        <v>2.8</v>
      </c>
      <c r="KWE7" s="111">
        <v>2.1</v>
      </c>
      <c r="KWF7" s="111">
        <v>1.9</v>
      </c>
      <c r="KWG7" s="111">
        <v>2.5</v>
      </c>
      <c r="KWH7" s="111">
        <v>3.9</v>
      </c>
      <c r="KWL7" s="93">
        <v>3.1</v>
      </c>
      <c r="KWM7" s="93">
        <v>3.4</v>
      </c>
      <c r="KXH7" s="110" t="s">
        <v>140</v>
      </c>
      <c r="KXI7" s="111">
        <v>3.4</v>
      </c>
      <c r="KXJ7" s="111">
        <v>2.8</v>
      </c>
      <c r="KXK7" s="111">
        <v>2.1</v>
      </c>
      <c r="KXL7" s="111">
        <v>1.9</v>
      </c>
      <c r="KXM7" s="111">
        <v>2.5</v>
      </c>
      <c r="KXN7" s="111">
        <v>3.9</v>
      </c>
      <c r="KXR7" s="93">
        <v>3.1</v>
      </c>
      <c r="KXS7" s="93">
        <v>3.4</v>
      </c>
      <c r="KYN7" s="110" t="s">
        <v>140</v>
      </c>
      <c r="KYO7" s="111">
        <v>3.4</v>
      </c>
      <c r="KYP7" s="111">
        <v>2.8</v>
      </c>
      <c r="KYQ7" s="111">
        <v>2.1</v>
      </c>
      <c r="KYR7" s="111">
        <v>1.9</v>
      </c>
      <c r="KYS7" s="111">
        <v>2.5</v>
      </c>
      <c r="KYT7" s="111">
        <v>3.9</v>
      </c>
      <c r="KYX7" s="93">
        <v>3.1</v>
      </c>
      <c r="KYY7" s="93">
        <v>3.4</v>
      </c>
      <c r="KZT7" s="110" t="s">
        <v>140</v>
      </c>
      <c r="KZU7" s="111">
        <v>3.4</v>
      </c>
      <c r="KZV7" s="111">
        <v>2.8</v>
      </c>
      <c r="KZW7" s="111">
        <v>2.1</v>
      </c>
      <c r="KZX7" s="111">
        <v>1.9</v>
      </c>
      <c r="KZY7" s="111">
        <v>2.5</v>
      </c>
      <c r="KZZ7" s="111">
        <v>3.9</v>
      </c>
      <c r="LAD7" s="93">
        <v>3.1</v>
      </c>
      <c r="LAE7" s="93">
        <v>3.4</v>
      </c>
      <c r="LAZ7" s="110" t="s">
        <v>140</v>
      </c>
      <c r="LBA7" s="111">
        <v>3.4</v>
      </c>
      <c r="LBB7" s="111">
        <v>2.8</v>
      </c>
      <c r="LBC7" s="111">
        <v>2.1</v>
      </c>
      <c r="LBD7" s="111">
        <v>1.9</v>
      </c>
      <c r="LBE7" s="111">
        <v>2.5</v>
      </c>
      <c r="LBF7" s="111">
        <v>3.9</v>
      </c>
      <c r="LBJ7" s="93">
        <v>3.1</v>
      </c>
      <c r="LBK7" s="93">
        <v>3.4</v>
      </c>
      <c r="LCF7" s="110" t="s">
        <v>140</v>
      </c>
      <c r="LCG7" s="111">
        <v>3.4</v>
      </c>
      <c r="LCH7" s="111">
        <v>2.8</v>
      </c>
      <c r="LCI7" s="111">
        <v>2.1</v>
      </c>
      <c r="LCJ7" s="111">
        <v>1.9</v>
      </c>
      <c r="LCK7" s="111">
        <v>2.5</v>
      </c>
      <c r="LCL7" s="111">
        <v>3.9</v>
      </c>
      <c r="LCP7" s="93">
        <v>3.1</v>
      </c>
      <c r="LCQ7" s="93">
        <v>3.4</v>
      </c>
      <c r="LDL7" s="110" t="s">
        <v>140</v>
      </c>
      <c r="LDM7" s="111">
        <v>3.4</v>
      </c>
      <c r="LDN7" s="111">
        <v>2.8</v>
      </c>
      <c r="LDO7" s="111">
        <v>2.1</v>
      </c>
      <c r="LDP7" s="111">
        <v>1.9</v>
      </c>
      <c r="LDQ7" s="111">
        <v>2.5</v>
      </c>
      <c r="LDR7" s="111">
        <v>3.9</v>
      </c>
      <c r="LDV7" s="93">
        <v>3.1</v>
      </c>
      <c r="LDW7" s="93">
        <v>3.4</v>
      </c>
      <c r="LER7" s="110" t="s">
        <v>140</v>
      </c>
      <c r="LES7" s="111">
        <v>3.4</v>
      </c>
      <c r="LET7" s="111">
        <v>2.8</v>
      </c>
      <c r="LEU7" s="111">
        <v>2.1</v>
      </c>
      <c r="LEV7" s="111">
        <v>1.9</v>
      </c>
      <c r="LEW7" s="111">
        <v>2.5</v>
      </c>
      <c r="LEX7" s="111">
        <v>3.9</v>
      </c>
      <c r="LFB7" s="93">
        <v>3.1</v>
      </c>
      <c r="LFC7" s="93">
        <v>3.4</v>
      </c>
      <c r="LFX7" s="110" t="s">
        <v>140</v>
      </c>
      <c r="LFY7" s="111">
        <v>3.4</v>
      </c>
      <c r="LFZ7" s="111">
        <v>2.8</v>
      </c>
      <c r="LGA7" s="111">
        <v>2.1</v>
      </c>
      <c r="LGB7" s="111">
        <v>1.9</v>
      </c>
      <c r="LGC7" s="111">
        <v>2.5</v>
      </c>
      <c r="LGD7" s="111">
        <v>3.9</v>
      </c>
      <c r="LGH7" s="93">
        <v>3.1</v>
      </c>
      <c r="LGI7" s="93">
        <v>3.4</v>
      </c>
      <c r="LHD7" s="110" t="s">
        <v>140</v>
      </c>
      <c r="LHE7" s="111">
        <v>3.4</v>
      </c>
      <c r="LHF7" s="111">
        <v>2.8</v>
      </c>
      <c r="LHG7" s="111">
        <v>2.1</v>
      </c>
      <c r="LHH7" s="111">
        <v>1.9</v>
      </c>
      <c r="LHI7" s="111">
        <v>2.5</v>
      </c>
      <c r="LHJ7" s="111">
        <v>3.9</v>
      </c>
      <c r="LHN7" s="93">
        <v>3.1</v>
      </c>
      <c r="LHO7" s="93">
        <v>3.4</v>
      </c>
      <c r="LIJ7" s="110" t="s">
        <v>140</v>
      </c>
      <c r="LIK7" s="111">
        <v>3.4</v>
      </c>
      <c r="LIL7" s="111">
        <v>2.8</v>
      </c>
      <c r="LIM7" s="111">
        <v>2.1</v>
      </c>
      <c r="LIN7" s="111">
        <v>1.9</v>
      </c>
      <c r="LIO7" s="111">
        <v>2.5</v>
      </c>
      <c r="LIP7" s="111">
        <v>3.9</v>
      </c>
      <c r="LIT7" s="93">
        <v>3.1</v>
      </c>
      <c r="LIU7" s="93">
        <v>3.4</v>
      </c>
      <c r="LJP7" s="110" t="s">
        <v>140</v>
      </c>
      <c r="LJQ7" s="111">
        <v>3.4</v>
      </c>
      <c r="LJR7" s="111">
        <v>2.8</v>
      </c>
      <c r="LJS7" s="111">
        <v>2.1</v>
      </c>
      <c r="LJT7" s="111">
        <v>1.9</v>
      </c>
      <c r="LJU7" s="111">
        <v>2.5</v>
      </c>
      <c r="LJV7" s="111">
        <v>3.9</v>
      </c>
      <c r="LJZ7" s="93">
        <v>3.1</v>
      </c>
      <c r="LKA7" s="93">
        <v>3.4</v>
      </c>
      <c r="LKV7" s="110" t="s">
        <v>140</v>
      </c>
      <c r="LKW7" s="111">
        <v>3.4</v>
      </c>
      <c r="LKX7" s="111">
        <v>2.8</v>
      </c>
      <c r="LKY7" s="111">
        <v>2.1</v>
      </c>
      <c r="LKZ7" s="111">
        <v>1.9</v>
      </c>
      <c r="LLA7" s="111">
        <v>2.5</v>
      </c>
      <c r="LLB7" s="111">
        <v>3.9</v>
      </c>
      <c r="LLF7" s="93">
        <v>3.1</v>
      </c>
      <c r="LLG7" s="93">
        <v>3.4</v>
      </c>
      <c r="LMB7" s="110" t="s">
        <v>140</v>
      </c>
      <c r="LMC7" s="111">
        <v>3.4</v>
      </c>
      <c r="LMD7" s="111">
        <v>2.8</v>
      </c>
      <c r="LME7" s="111">
        <v>2.1</v>
      </c>
      <c r="LMF7" s="111">
        <v>1.9</v>
      </c>
      <c r="LMG7" s="111">
        <v>2.5</v>
      </c>
      <c r="LMH7" s="111">
        <v>3.9</v>
      </c>
      <c r="LML7" s="93">
        <v>3.1</v>
      </c>
      <c r="LMM7" s="93">
        <v>3.4</v>
      </c>
      <c r="LNH7" s="110" t="s">
        <v>140</v>
      </c>
      <c r="LNI7" s="111">
        <v>3.4</v>
      </c>
      <c r="LNJ7" s="111">
        <v>2.8</v>
      </c>
      <c r="LNK7" s="111">
        <v>2.1</v>
      </c>
      <c r="LNL7" s="111">
        <v>1.9</v>
      </c>
      <c r="LNM7" s="111">
        <v>2.5</v>
      </c>
      <c r="LNN7" s="111">
        <v>3.9</v>
      </c>
      <c r="LNR7" s="93">
        <v>3.1</v>
      </c>
      <c r="LNS7" s="93">
        <v>3.4</v>
      </c>
      <c r="LON7" s="110" t="s">
        <v>140</v>
      </c>
      <c r="LOO7" s="111">
        <v>3.4</v>
      </c>
      <c r="LOP7" s="111">
        <v>2.8</v>
      </c>
      <c r="LOQ7" s="111">
        <v>2.1</v>
      </c>
      <c r="LOR7" s="111">
        <v>1.9</v>
      </c>
      <c r="LOS7" s="111">
        <v>2.5</v>
      </c>
      <c r="LOT7" s="111">
        <v>3.9</v>
      </c>
      <c r="LOX7" s="93">
        <v>3.1</v>
      </c>
      <c r="LOY7" s="93">
        <v>3.4</v>
      </c>
      <c r="LPT7" s="110" t="s">
        <v>140</v>
      </c>
      <c r="LPU7" s="111">
        <v>3.4</v>
      </c>
      <c r="LPV7" s="111">
        <v>2.8</v>
      </c>
      <c r="LPW7" s="111">
        <v>2.1</v>
      </c>
      <c r="LPX7" s="111">
        <v>1.9</v>
      </c>
      <c r="LPY7" s="111">
        <v>2.5</v>
      </c>
      <c r="LPZ7" s="111">
        <v>3.9</v>
      </c>
      <c r="LQD7" s="93">
        <v>3.1</v>
      </c>
      <c r="LQE7" s="93">
        <v>3.4</v>
      </c>
      <c r="LQZ7" s="110" t="s">
        <v>140</v>
      </c>
      <c r="LRA7" s="111">
        <v>3.4</v>
      </c>
      <c r="LRB7" s="111">
        <v>2.8</v>
      </c>
      <c r="LRC7" s="111">
        <v>2.1</v>
      </c>
      <c r="LRD7" s="111">
        <v>1.9</v>
      </c>
      <c r="LRE7" s="111">
        <v>2.5</v>
      </c>
      <c r="LRF7" s="111">
        <v>3.9</v>
      </c>
      <c r="LRJ7" s="93">
        <v>3.1</v>
      </c>
      <c r="LRK7" s="93">
        <v>3.4</v>
      </c>
      <c r="LSF7" s="110" t="s">
        <v>140</v>
      </c>
      <c r="LSG7" s="111">
        <v>3.4</v>
      </c>
      <c r="LSH7" s="111">
        <v>2.8</v>
      </c>
      <c r="LSI7" s="111">
        <v>2.1</v>
      </c>
      <c r="LSJ7" s="111">
        <v>1.9</v>
      </c>
      <c r="LSK7" s="111">
        <v>2.5</v>
      </c>
      <c r="LSL7" s="111">
        <v>3.9</v>
      </c>
      <c r="LSP7" s="93">
        <v>3.1</v>
      </c>
      <c r="LSQ7" s="93">
        <v>3.4</v>
      </c>
      <c r="LTL7" s="110" t="s">
        <v>140</v>
      </c>
      <c r="LTM7" s="111">
        <v>3.4</v>
      </c>
      <c r="LTN7" s="111">
        <v>2.8</v>
      </c>
      <c r="LTO7" s="111">
        <v>2.1</v>
      </c>
      <c r="LTP7" s="111">
        <v>1.9</v>
      </c>
      <c r="LTQ7" s="111">
        <v>2.5</v>
      </c>
      <c r="LTR7" s="111">
        <v>3.9</v>
      </c>
      <c r="LTV7" s="93">
        <v>3.1</v>
      </c>
      <c r="LTW7" s="93">
        <v>3.4</v>
      </c>
      <c r="LUR7" s="110" t="s">
        <v>140</v>
      </c>
      <c r="LUS7" s="111">
        <v>3.4</v>
      </c>
      <c r="LUT7" s="111">
        <v>2.8</v>
      </c>
      <c r="LUU7" s="111">
        <v>2.1</v>
      </c>
      <c r="LUV7" s="111">
        <v>1.9</v>
      </c>
      <c r="LUW7" s="111">
        <v>2.5</v>
      </c>
      <c r="LUX7" s="111">
        <v>3.9</v>
      </c>
      <c r="LVB7" s="93">
        <v>3.1</v>
      </c>
      <c r="LVC7" s="93">
        <v>3.4</v>
      </c>
      <c r="LVX7" s="110" t="s">
        <v>140</v>
      </c>
      <c r="LVY7" s="111">
        <v>3.4</v>
      </c>
      <c r="LVZ7" s="111">
        <v>2.8</v>
      </c>
      <c r="LWA7" s="111">
        <v>2.1</v>
      </c>
      <c r="LWB7" s="111">
        <v>1.9</v>
      </c>
      <c r="LWC7" s="111">
        <v>2.5</v>
      </c>
      <c r="LWD7" s="111">
        <v>3.9</v>
      </c>
      <c r="LWH7" s="93">
        <v>3.1</v>
      </c>
      <c r="LWI7" s="93">
        <v>3.4</v>
      </c>
      <c r="LXD7" s="110" t="s">
        <v>140</v>
      </c>
      <c r="LXE7" s="111">
        <v>3.4</v>
      </c>
      <c r="LXF7" s="111">
        <v>2.8</v>
      </c>
      <c r="LXG7" s="111">
        <v>2.1</v>
      </c>
      <c r="LXH7" s="111">
        <v>1.9</v>
      </c>
      <c r="LXI7" s="111">
        <v>2.5</v>
      </c>
      <c r="LXJ7" s="111">
        <v>3.9</v>
      </c>
      <c r="LXN7" s="93">
        <v>3.1</v>
      </c>
      <c r="LXO7" s="93">
        <v>3.4</v>
      </c>
      <c r="LYJ7" s="110" t="s">
        <v>140</v>
      </c>
      <c r="LYK7" s="111">
        <v>3.4</v>
      </c>
      <c r="LYL7" s="111">
        <v>2.8</v>
      </c>
      <c r="LYM7" s="111">
        <v>2.1</v>
      </c>
      <c r="LYN7" s="111">
        <v>1.9</v>
      </c>
      <c r="LYO7" s="111">
        <v>2.5</v>
      </c>
      <c r="LYP7" s="111">
        <v>3.9</v>
      </c>
      <c r="LYT7" s="93">
        <v>3.1</v>
      </c>
      <c r="LYU7" s="93">
        <v>3.4</v>
      </c>
      <c r="LZP7" s="110" t="s">
        <v>140</v>
      </c>
      <c r="LZQ7" s="111">
        <v>3.4</v>
      </c>
      <c r="LZR7" s="111">
        <v>2.8</v>
      </c>
      <c r="LZS7" s="111">
        <v>2.1</v>
      </c>
      <c r="LZT7" s="111">
        <v>1.9</v>
      </c>
      <c r="LZU7" s="111">
        <v>2.5</v>
      </c>
      <c r="LZV7" s="111">
        <v>3.9</v>
      </c>
      <c r="LZZ7" s="93">
        <v>3.1</v>
      </c>
      <c r="MAA7" s="93">
        <v>3.4</v>
      </c>
      <c r="MAV7" s="110" t="s">
        <v>140</v>
      </c>
      <c r="MAW7" s="111">
        <v>3.4</v>
      </c>
      <c r="MAX7" s="111">
        <v>2.8</v>
      </c>
      <c r="MAY7" s="111">
        <v>2.1</v>
      </c>
      <c r="MAZ7" s="111">
        <v>1.9</v>
      </c>
      <c r="MBA7" s="111">
        <v>2.5</v>
      </c>
      <c r="MBB7" s="111">
        <v>3.9</v>
      </c>
      <c r="MBF7" s="93">
        <v>3.1</v>
      </c>
      <c r="MBG7" s="93">
        <v>3.4</v>
      </c>
      <c r="MCB7" s="110" t="s">
        <v>140</v>
      </c>
      <c r="MCC7" s="111">
        <v>3.4</v>
      </c>
      <c r="MCD7" s="111">
        <v>2.8</v>
      </c>
      <c r="MCE7" s="111">
        <v>2.1</v>
      </c>
      <c r="MCF7" s="111">
        <v>1.9</v>
      </c>
      <c r="MCG7" s="111">
        <v>2.5</v>
      </c>
      <c r="MCH7" s="111">
        <v>3.9</v>
      </c>
      <c r="MCL7" s="93">
        <v>3.1</v>
      </c>
      <c r="MCM7" s="93">
        <v>3.4</v>
      </c>
      <c r="MDH7" s="110" t="s">
        <v>140</v>
      </c>
      <c r="MDI7" s="111">
        <v>3.4</v>
      </c>
      <c r="MDJ7" s="111">
        <v>2.8</v>
      </c>
      <c r="MDK7" s="111">
        <v>2.1</v>
      </c>
      <c r="MDL7" s="111">
        <v>1.9</v>
      </c>
      <c r="MDM7" s="111">
        <v>2.5</v>
      </c>
      <c r="MDN7" s="111">
        <v>3.9</v>
      </c>
      <c r="MDR7" s="93">
        <v>3.1</v>
      </c>
      <c r="MDS7" s="93">
        <v>3.4</v>
      </c>
      <c r="MEN7" s="110" t="s">
        <v>140</v>
      </c>
      <c r="MEO7" s="111">
        <v>3.4</v>
      </c>
      <c r="MEP7" s="111">
        <v>2.8</v>
      </c>
      <c r="MEQ7" s="111">
        <v>2.1</v>
      </c>
      <c r="MER7" s="111">
        <v>1.9</v>
      </c>
      <c r="MES7" s="111">
        <v>2.5</v>
      </c>
      <c r="MET7" s="111">
        <v>3.9</v>
      </c>
      <c r="MEX7" s="93">
        <v>3.1</v>
      </c>
      <c r="MEY7" s="93">
        <v>3.4</v>
      </c>
      <c r="MFT7" s="110" t="s">
        <v>140</v>
      </c>
      <c r="MFU7" s="111">
        <v>3.4</v>
      </c>
      <c r="MFV7" s="111">
        <v>2.8</v>
      </c>
      <c r="MFW7" s="111">
        <v>2.1</v>
      </c>
      <c r="MFX7" s="111">
        <v>1.9</v>
      </c>
      <c r="MFY7" s="111">
        <v>2.5</v>
      </c>
      <c r="MFZ7" s="111">
        <v>3.9</v>
      </c>
      <c r="MGD7" s="93">
        <v>3.1</v>
      </c>
      <c r="MGE7" s="93">
        <v>3.4</v>
      </c>
      <c r="MGZ7" s="110" t="s">
        <v>140</v>
      </c>
      <c r="MHA7" s="111">
        <v>3.4</v>
      </c>
      <c r="MHB7" s="111">
        <v>2.8</v>
      </c>
      <c r="MHC7" s="111">
        <v>2.1</v>
      </c>
      <c r="MHD7" s="111">
        <v>1.9</v>
      </c>
      <c r="MHE7" s="111">
        <v>2.5</v>
      </c>
      <c r="MHF7" s="111">
        <v>3.9</v>
      </c>
      <c r="MHJ7" s="93">
        <v>3.1</v>
      </c>
      <c r="MHK7" s="93">
        <v>3.4</v>
      </c>
      <c r="MIF7" s="110" t="s">
        <v>140</v>
      </c>
      <c r="MIG7" s="111">
        <v>3.4</v>
      </c>
      <c r="MIH7" s="111">
        <v>2.8</v>
      </c>
      <c r="MII7" s="111">
        <v>2.1</v>
      </c>
      <c r="MIJ7" s="111">
        <v>1.9</v>
      </c>
      <c r="MIK7" s="111">
        <v>2.5</v>
      </c>
      <c r="MIL7" s="111">
        <v>3.9</v>
      </c>
      <c r="MIP7" s="93">
        <v>3.1</v>
      </c>
      <c r="MIQ7" s="93">
        <v>3.4</v>
      </c>
      <c r="MJL7" s="110" t="s">
        <v>140</v>
      </c>
      <c r="MJM7" s="111">
        <v>3.4</v>
      </c>
      <c r="MJN7" s="111">
        <v>2.8</v>
      </c>
      <c r="MJO7" s="111">
        <v>2.1</v>
      </c>
      <c r="MJP7" s="111">
        <v>1.9</v>
      </c>
      <c r="MJQ7" s="111">
        <v>2.5</v>
      </c>
      <c r="MJR7" s="111">
        <v>3.9</v>
      </c>
      <c r="MJV7" s="93">
        <v>3.1</v>
      </c>
      <c r="MJW7" s="93">
        <v>3.4</v>
      </c>
      <c r="MKR7" s="110" t="s">
        <v>140</v>
      </c>
      <c r="MKS7" s="111">
        <v>3.4</v>
      </c>
      <c r="MKT7" s="111">
        <v>2.8</v>
      </c>
      <c r="MKU7" s="111">
        <v>2.1</v>
      </c>
      <c r="MKV7" s="111">
        <v>1.9</v>
      </c>
      <c r="MKW7" s="111">
        <v>2.5</v>
      </c>
      <c r="MKX7" s="111">
        <v>3.9</v>
      </c>
      <c r="MLB7" s="93">
        <v>3.1</v>
      </c>
      <c r="MLC7" s="93">
        <v>3.4</v>
      </c>
      <c r="MLX7" s="110" t="s">
        <v>140</v>
      </c>
      <c r="MLY7" s="111">
        <v>3.4</v>
      </c>
      <c r="MLZ7" s="111">
        <v>2.8</v>
      </c>
      <c r="MMA7" s="111">
        <v>2.1</v>
      </c>
      <c r="MMB7" s="111">
        <v>1.9</v>
      </c>
      <c r="MMC7" s="111">
        <v>2.5</v>
      </c>
      <c r="MMD7" s="111">
        <v>3.9</v>
      </c>
      <c r="MMH7" s="93">
        <v>3.1</v>
      </c>
      <c r="MMI7" s="93">
        <v>3.4</v>
      </c>
      <c r="MND7" s="110" t="s">
        <v>140</v>
      </c>
      <c r="MNE7" s="111">
        <v>3.4</v>
      </c>
      <c r="MNF7" s="111">
        <v>2.8</v>
      </c>
      <c r="MNG7" s="111">
        <v>2.1</v>
      </c>
      <c r="MNH7" s="111">
        <v>1.9</v>
      </c>
      <c r="MNI7" s="111">
        <v>2.5</v>
      </c>
      <c r="MNJ7" s="111">
        <v>3.9</v>
      </c>
      <c r="MNN7" s="93">
        <v>3.1</v>
      </c>
      <c r="MNO7" s="93">
        <v>3.4</v>
      </c>
      <c r="MOJ7" s="110" t="s">
        <v>140</v>
      </c>
      <c r="MOK7" s="111">
        <v>3.4</v>
      </c>
      <c r="MOL7" s="111">
        <v>2.8</v>
      </c>
      <c r="MOM7" s="111">
        <v>2.1</v>
      </c>
      <c r="MON7" s="111">
        <v>1.9</v>
      </c>
      <c r="MOO7" s="111">
        <v>2.5</v>
      </c>
      <c r="MOP7" s="111">
        <v>3.9</v>
      </c>
      <c r="MOT7" s="93">
        <v>3.1</v>
      </c>
      <c r="MOU7" s="93">
        <v>3.4</v>
      </c>
      <c r="MPP7" s="110" t="s">
        <v>140</v>
      </c>
      <c r="MPQ7" s="111">
        <v>3.4</v>
      </c>
      <c r="MPR7" s="111">
        <v>2.8</v>
      </c>
      <c r="MPS7" s="111">
        <v>2.1</v>
      </c>
      <c r="MPT7" s="111">
        <v>1.9</v>
      </c>
      <c r="MPU7" s="111">
        <v>2.5</v>
      </c>
      <c r="MPV7" s="111">
        <v>3.9</v>
      </c>
      <c r="MPZ7" s="93">
        <v>3.1</v>
      </c>
      <c r="MQA7" s="93">
        <v>3.4</v>
      </c>
      <c r="MQV7" s="110" t="s">
        <v>140</v>
      </c>
      <c r="MQW7" s="111">
        <v>3.4</v>
      </c>
      <c r="MQX7" s="111">
        <v>2.8</v>
      </c>
      <c r="MQY7" s="111">
        <v>2.1</v>
      </c>
      <c r="MQZ7" s="111">
        <v>1.9</v>
      </c>
      <c r="MRA7" s="111">
        <v>2.5</v>
      </c>
      <c r="MRB7" s="111">
        <v>3.9</v>
      </c>
      <c r="MRF7" s="93">
        <v>3.1</v>
      </c>
      <c r="MRG7" s="93">
        <v>3.4</v>
      </c>
      <c r="MSB7" s="110" t="s">
        <v>140</v>
      </c>
      <c r="MSC7" s="111">
        <v>3.4</v>
      </c>
      <c r="MSD7" s="111">
        <v>2.8</v>
      </c>
      <c r="MSE7" s="111">
        <v>2.1</v>
      </c>
      <c r="MSF7" s="111">
        <v>1.9</v>
      </c>
      <c r="MSG7" s="111">
        <v>2.5</v>
      </c>
      <c r="MSH7" s="111">
        <v>3.9</v>
      </c>
      <c r="MSL7" s="93">
        <v>3.1</v>
      </c>
      <c r="MSM7" s="93">
        <v>3.4</v>
      </c>
      <c r="MTH7" s="110" t="s">
        <v>140</v>
      </c>
      <c r="MTI7" s="111">
        <v>3.4</v>
      </c>
      <c r="MTJ7" s="111">
        <v>2.8</v>
      </c>
      <c r="MTK7" s="111">
        <v>2.1</v>
      </c>
      <c r="MTL7" s="111">
        <v>1.9</v>
      </c>
      <c r="MTM7" s="111">
        <v>2.5</v>
      </c>
      <c r="MTN7" s="111">
        <v>3.9</v>
      </c>
      <c r="MTR7" s="93">
        <v>3.1</v>
      </c>
      <c r="MTS7" s="93">
        <v>3.4</v>
      </c>
      <c r="MUN7" s="110" t="s">
        <v>140</v>
      </c>
      <c r="MUO7" s="111">
        <v>3.4</v>
      </c>
      <c r="MUP7" s="111">
        <v>2.8</v>
      </c>
      <c r="MUQ7" s="111">
        <v>2.1</v>
      </c>
      <c r="MUR7" s="111">
        <v>1.9</v>
      </c>
      <c r="MUS7" s="111">
        <v>2.5</v>
      </c>
      <c r="MUT7" s="111">
        <v>3.9</v>
      </c>
      <c r="MUX7" s="93">
        <v>3.1</v>
      </c>
      <c r="MUY7" s="93">
        <v>3.4</v>
      </c>
      <c r="MVT7" s="110" t="s">
        <v>140</v>
      </c>
      <c r="MVU7" s="111">
        <v>3.4</v>
      </c>
      <c r="MVV7" s="111">
        <v>2.8</v>
      </c>
      <c r="MVW7" s="111">
        <v>2.1</v>
      </c>
      <c r="MVX7" s="111">
        <v>1.9</v>
      </c>
      <c r="MVY7" s="111">
        <v>2.5</v>
      </c>
      <c r="MVZ7" s="111">
        <v>3.9</v>
      </c>
      <c r="MWD7" s="93">
        <v>3.1</v>
      </c>
      <c r="MWE7" s="93">
        <v>3.4</v>
      </c>
      <c r="MWZ7" s="110" t="s">
        <v>140</v>
      </c>
      <c r="MXA7" s="111">
        <v>3.4</v>
      </c>
      <c r="MXB7" s="111">
        <v>2.8</v>
      </c>
      <c r="MXC7" s="111">
        <v>2.1</v>
      </c>
      <c r="MXD7" s="111">
        <v>1.9</v>
      </c>
      <c r="MXE7" s="111">
        <v>2.5</v>
      </c>
      <c r="MXF7" s="111">
        <v>3.9</v>
      </c>
      <c r="MXJ7" s="93">
        <v>3.1</v>
      </c>
      <c r="MXK7" s="93">
        <v>3.4</v>
      </c>
      <c r="MYF7" s="110" t="s">
        <v>140</v>
      </c>
      <c r="MYG7" s="111">
        <v>3.4</v>
      </c>
      <c r="MYH7" s="111">
        <v>2.8</v>
      </c>
      <c r="MYI7" s="111">
        <v>2.1</v>
      </c>
      <c r="MYJ7" s="111">
        <v>1.9</v>
      </c>
      <c r="MYK7" s="111">
        <v>2.5</v>
      </c>
      <c r="MYL7" s="111">
        <v>3.9</v>
      </c>
      <c r="MYP7" s="93">
        <v>3.1</v>
      </c>
      <c r="MYQ7" s="93">
        <v>3.4</v>
      </c>
      <c r="MZL7" s="110" t="s">
        <v>140</v>
      </c>
      <c r="MZM7" s="111">
        <v>3.4</v>
      </c>
      <c r="MZN7" s="111">
        <v>2.8</v>
      </c>
      <c r="MZO7" s="111">
        <v>2.1</v>
      </c>
      <c r="MZP7" s="111">
        <v>1.9</v>
      </c>
      <c r="MZQ7" s="111">
        <v>2.5</v>
      </c>
      <c r="MZR7" s="111">
        <v>3.9</v>
      </c>
      <c r="MZV7" s="93">
        <v>3.1</v>
      </c>
      <c r="MZW7" s="93">
        <v>3.4</v>
      </c>
      <c r="NAR7" s="110" t="s">
        <v>140</v>
      </c>
      <c r="NAS7" s="111">
        <v>3.4</v>
      </c>
      <c r="NAT7" s="111">
        <v>2.8</v>
      </c>
      <c r="NAU7" s="111">
        <v>2.1</v>
      </c>
      <c r="NAV7" s="111">
        <v>1.9</v>
      </c>
      <c r="NAW7" s="111">
        <v>2.5</v>
      </c>
      <c r="NAX7" s="111">
        <v>3.9</v>
      </c>
      <c r="NBB7" s="93">
        <v>3.1</v>
      </c>
      <c r="NBC7" s="93">
        <v>3.4</v>
      </c>
      <c r="NBX7" s="110" t="s">
        <v>140</v>
      </c>
      <c r="NBY7" s="111">
        <v>3.4</v>
      </c>
      <c r="NBZ7" s="111">
        <v>2.8</v>
      </c>
      <c r="NCA7" s="111">
        <v>2.1</v>
      </c>
      <c r="NCB7" s="111">
        <v>1.9</v>
      </c>
      <c r="NCC7" s="111">
        <v>2.5</v>
      </c>
      <c r="NCD7" s="111">
        <v>3.9</v>
      </c>
      <c r="NCH7" s="93">
        <v>3.1</v>
      </c>
      <c r="NCI7" s="93">
        <v>3.4</v>
      </c>
      <c r="NDD7" s="110" t="s">
        <v>140</v>
      </c>
      <c r="NDE7" s="111">
        <v>3.4</v>
      </c>
      <c r="NDF7" s="111">
        <v>2.8</v>
      </c>
      <c r="NDG7" s="111">
        <v>2.1</v>
      </c>
      <c r="NDH7" s="111">
        <v>1.9</v>
      </c>
      <c r="NDI7" s="111">
        <v>2.5</v>
      </c>
      <c r="NDJ7" s="111">
        <v>3.9</v>
      </c>
      <c r="NDN7" s="93">
        <v>3.1</v>
      </c>
      <c r="NDO7" s="93">
        <v>3.4</v>
      </c>
      <c r="NEJ7" s="110" t="s">
        <v>140</v>
      </c>
      <c r="NEK7" s="111">
        <v>3.4</v>
      </c>
      <c r="NEL7" s="111">
        <v>2.8</v>
      </c>
      <c r="NEM7" s="111">
        <v>2.1</v>
      </c>
      <c r="NEN7" s="111">
        <v>1.9</v>
      </c>
      <c r="NEO7" s="111">
        <v>2.5</v>
      </c>
      <c r="NEP7" s="111">
        <v>3.9</v>
      </c>
      <c r="NET7" s="93">
        <v>3.1</v>
      </c>
      <c r="NEU7" s="93">
        <v>3.4</v>
      </c>
      <c r="NFP7" s="110" t="s">
        <v>140</v>
      </c>
      <c r="NFQ7" s="111">
        <v>3.4</v>
      </c>
      <c r="NFR7" s="111">
        <v>2.8</v>
      </c>
      <c r="NFS7" s="111">
        <v>2.1</v>
      </c>
      <c r="NFT7" s="111">
        <v>1.9</v>
      </c>
      <c r="NFU7" s="111">
        <v>2.5</v>
      </c>
      <c r="NFV7" s="111">
        <v>3.9</v>
      </c>
      <c r="NFZ7" s="93">
        <v>3.1</v>
      </c>
      <c r="NGA7" s="93">
        <v>3.4</v>
      </c>
      <c r="NGV7" s="110" t="s">
        <v>140</v>
      </c>
      <c r="NGW7" s="111">
        <v>3.4</v>
      </c>
      <c r="NGX7" s="111">
        <v>2.8</v>
      </c>
      <c r="NGY7" s="111">
        <v>2.1</v>
      </c>
      <c r="NGZ7" s="111">
        <v>1.9</v>
      </c>
      <c r="NHA7" s="111">
        <v>2.5</v>
      </c>
      <c r="NHB7" s="111">
        <v>3.9</v>
      </c>
      <c r="NHF7" s="93">
        <v>3.1</v>
      </c>
      <c r="NHG7" s="93">
        <v>3.4</v>
      </c>
      <c r="NIB7" s="110" t="s">
        <v>140</v>
      </c>
      <c r="NIC7" s="111">
        <v>3.4</v>
      </c>
      <c r="NID7" s="111">
        <v>2.8</v>
      </c>
      <c r="NIE7" s="111">
        <v>2.1</v>
      </c>
      <c r="NIF7" s="111">
        <v>1.9</v>
      </c>
      <c r="NIG7" s="111">
        <v>2.5</v>
      </c>
      <c r="NIH7" s="111">
        <v>3.9</v>
      </c>
      <c r="NIL7" s="93">
        <v>3.1</v>
      </c>
      <c r="NIM7" s="93">
        <v>3.4</v>
      </c>
      <c r="NJH7" s="110" t="s">
        <v>140</v>
      </c>
      <c r="NJI7" s="111">
        <v>3.4</v>
      </c>
      <c r="NJJ7" s="111">
        <v>2.8</v>
      </c>
      <c r="NJK7" s="111">
        <v>2.1</v>
      </c>
      <c r="NJL7" s="111">
        <v>1.9</v>
      </c>
      <c r="NJM7" s="111">
        <v>2.5</v>
      </c>
      <c r="NJN7" s="111">
        <v>3.9</v>
      </c>
      <c r="NJR7" s="93">
        <v>3.1</v>
      </c>
      <c r="NJS7" s="93">
        <v>3.4</v>
      </c>
      <c r="NKN7" s="110" t="s">
        <v>140</v>
      </c>
      <c r="NKO7" s="111">
        <v>3.4</v>
      </c>
      <c r="NKP7" s="111">
        <v>2.8</v>
      </c>
      <c r="NKQ7" s="111">
        <v>2.1</v>
      </c>
      <c r="NKR7" s="111">
        <v>1.9</v>
      </c>
      <c r="NKS7" s="111">
        <v>2.5</v>
      </c>
      <c r="NKT7" s="111">
        <v>3.9</v>
      </c>
      <c r="NKX7" s="93">
        <v>3.1</v>
      </c>
      <c r="NKY7" s="93">
        <v>3.4</v>
      </c>
      <c r="NLT7" s="110" t="s">
        <v>140</v>
      </c>
      <c r="NLU7" s="111">
        <v>3.4</v>
      </c>
      <c r="NLV7" s="111">
        <v>2.8</v>
      </c>
      <c r="NLW7" s="111">
        <v>2.1</v>
      </c>
      <c r="NLX7" s="111">
        <v>1.9</v>
      </c>
      <c r="NLY7" s="111">
        <v>2.5</v>
      </c>
      <c r="NLZ7" s="111">
        <v>3.9</v>
      </c>
      <c r="NMD7" s="93">
        <v>3.1</v>
      </c>
      <c r="NME7" s="93">
        <v>3.4</v>
      </c>
      <c r="NMZ7" s="110" t="s">
        <v>140</v>
      </c>
      <c r="NNA7" s="111">
        <v>3.4</v>
      </c>
      <c r="NNB7" s="111">
        <v>2.8</v>
      </c>
      <c r="NNC7" s="111">
        <v>2.1</v>
      </c>
      <c r="NND7" s="111">
        <v>1.9</v>
      </c>
      <c r="NNE7" s="111">
        <v>2.5</v>
      </c>
      <c r="NNF7" s="111">
        <v>3.9</v>
      </c>
      <c r="NNJ7" s="93">
        <v>3.1</v>
      </c>
      <c r="NNK7" s="93">
        <v>3.4</v>
      </c>
      <c r="NOF7" s="110" t="s">
        <v>140</v>
      </c>
      <c r="NOG7" s="111">
        <v>3.4</v>
      </c>
      <c r="NOH7" s="111">
        <v>2.8</v>
      </c>
      <c r="NOI7" s="111">
        <v>2.1</v>
      </c>
      <c r="NOJ7" s="111">
        <v>1.9</v>
      </c>
      <c r="NOK7" s="111">
        <v>2.5</v>
      </c>
      <c r="NOL7" s="111">
        <v>3.9</v>
      </c>
      <c r="NOP7" s="93">
        <v>3.1</v>
      </c>
      <c r="NOQ7" s="93">
        <v>3.4</v>
      </c>
      <c r="NPL7" s="110" t="s">
        <v>140</v>
      </c>
      <c r="NPM7" s="111">
        <v>3.4</v>
      </c>
      <c r="NPN7" s="111">
        <v>2.8</v>
      </c>
      <c r="NPO7" s="111">
        <v>2.1</v>
      </c>
      <c r="NPP7" s="111">
        <v>1.9</v>
      </c>
      <c r="NPQ7" s="111">
        <v>2.5</v>
      </c>
      <c r="NPR7" s="111">
        <v>3.9</v>
      </c>
      <c r="NPV7" s="93">
        <v>3.1</v>
      </c>
      <c r="NPW7" s="93">
        <v>3.4</v>
      </c>
      <c r="NQR7" s="110" t="s">
        <v>140</v>
      </c>
      <c r="NQS7" s="111">
        <v>3.4</v>
      </c>
      <c r="NQT7" s="111">
        <v>2.8</v>
      </c>
      <c r="NQU7" s="111">
        <v>2.1</v>
      </c>
      <c r="NQV7" s="111">
        <v>1.9</v>
      </c>
      <c r="NQW7" s="111">
        <v>2.5</v>
      </c>
      <c r="NQX7" s="111">
        <v>3.9</v>
      </c>
      <c r="NRB7" s="93">
        <v>3.1</v>
      </c>
      <c r="NRC7" s="93">
        <v>3.4</v>
      </c>
      <c r="NRX7" s="110" t="s">
        <v>140</v>
      </c>
      <c r="NRY7" s="111">
        <v>3.4</v>
      </c>
      <c r="NRZ7" s="111">
        <v>2.8</v>
      </c>
      <c r="NSA7" s="111">
        <v>2.1</v>
      </c>
      <c r="NSB7" s="111">
        <v>1.9</v>
      </c>
      <c r="NSC7" s="111">
        <v>2.5</v>
      </c>
      <c r="NSD7" s="111">
        <v>3.9</v>
      </c>
      <c r="NSH7" s="93">
        <v>3.1</v>
      </c>
      <c r="NSI7" s="93">
        <v>3.4</v>
      </c>
      <c r="NTD7" s="110" t="s">
        <v>140</v>
      </c>
      <c r="NTE7" s="111">
        <v>3.4</v>
      </c>
      <c r="NTF7" s="111">
        <v>2.8</v>
      </c>
      <c r="NTG7" s="111">
        <v>2.1</v>
      </c>
      <c r="NTH7" s="111">
        <v>1.9</v>
      </c>
      <c r="NTI7" s="111">
        <v>2.5</v>
      </c>
      <c r="NTJ7" s="111">
        <v>3.9</v>
      </c>
      <c r="NTN7" s="93">
        <v>3.1</v>
      </c>
      <c r="NTO7" s="93">
        <v>3.4</v>
      </c>
      <c r="NUJ7" s="110" t="s">
        <v>140</v>
      </c>
      <c r="NUK7" s="111">
        <v>3.4</v>
      </c>
      <c r="NUL7" s="111">
        <v>2.8</v>
      </c>
      <c r="NUM7" s="111">
        <v>2.1</v>
      </c>
      <c r="NUN7" s="111">
        <v>1.9</v>
      </c>
      <c r="NUO7" s="111">
        <v>2.5</v>
      </c>
      <c r="NUP7" s="111">
        <v>3.9</v>
      </c>
      <c r="NUT7" s="93">
        <v>3.1</v>
      </c>
      <c r="NUU7" s="93">
        <v>3.4</v>
      </c>
      <c r="NVP7" s="110" t="s">
        <v>140</v>
      </c>
      <c r="NVQ7" s="111">
        <v>3.4</v>
      </c>
      <c r="NVR7" s="111">
        <v>2.8</v>
      </c>
      <c r="NVS7" s="111">
        <v>2.1</v>
      </c>
      <c r="NVT7" s="111">
        <v>1.9</v>
      </c>
      <c r="NVU7" s="111">
        <v>2.5</v>
      </c>
      <c r="NVV7" s="111">
        <v>3.9</v>
      </c>
      <c r="NVZ7" s="93">
        <v>3.1</v>
      </c>
      <c r="NWA7" s="93">
        <v>3.4</v>
      </c>
      <c r="NWV7" s="110" t="s">
        <v>140</v>
      </c>
      <c r="NWW7" s="111">
        <v>3.4</v>
      </c>
      <c r="NWX7" s="111">
        <v>2.8</v>
      </c>
      <c r="NWY7" s="111">
        <v>2.1</v>
      </c>
      <c r="NWZ7" s="111">
        <v>1.9</v>
      </c>
      <c r="NXA7" s="111">
        <v>2.5</v>
      </c>
      <c r="NXB7" s="111">
        <v>3.9</v>
      </c>
      <c r="NXF7" s="93">
        <v>3.1</v>
      </c>
      <c r="NXG7" s="93">
        <v>3.4</v>
      </c>
      <c r="NYB7" s="110" t="s">
        <v>140</v>
      </c>
      <c r="NYC7" s="111">
        <v>3.4</v>
      </c>
      <c r="NYD7" s="111">
        <v>2.8</v>
      </c>
      <c r="NYE7" s="111">
        <v>2.1</v>
      </c>
      <c r="NYF7" s="111">
        <v>1.9</v>
      </c>
      <c r="NYG7" s="111">
        <v>2.5</v>
      </c>
      <c r="NYH7" s="111">
        <v>3.9</v>
      </c>
      <c r="NYL7" s="93">
        <v>3.1</v>
      </c>
      <c r="NYM7" s="93">
        <v>3.4</v>
      </c>
      <c r="NZH7" s="110" t="s">
        <v>140</v>
      </c>
      <c r="NZI7" s="111">
        <v>3.4</v>
      </c>
      <c r="NZJ7" s="111">
        <v>2.8</v>
      </c>
      <c r="NZK7" s="111">
        <v>2.1</v>
      </c>
      <c r="NZL7" s="111">
        <v>1.9</v>
      </c>
      <c r="NZM7" s="111">
        <v>2.5</v>
      </c>
      <c r="NZN7" s="111">
        <v>3.9</v>
      </c>
      <c r="NZR7" s="93">
        <v>3.1</v>
      </c>
      <c r="NZS7" s="93">
        <v>3.4</v>
      </c>
      <c r="OAN7" s="110" t="s">
        <v>140</v>
      </c>
      <c r="OAO7" s="111">
        <v>3.4</v>
      </c>
      <c r="OAP7" s="111">
        <v>2.8</v>
      </c>
      <c r="OAQ7" s="111">
        <v>2.1</v>
      </c>
      <c r="OAR7" s="111">
        <v>1.9</v>
      </c>
      <c r="OAS7" s="111">
        <v>2.5</v>
      </c>
      <c r="OAT7" s="111">
        <v>3.9</v>
      </c>
      <c r="OAX7" s="93">
        <v>3.1</v>
      </c>
      <c r="OAY7" s="93">
        <v>3.4</v>
      </c>
      <c r="OBT7" s="110" t="s">
        <v>140</v>
      </c>
      <c r="OBU7" s="111">
        <v>3.4</v>
      </c>
      <c r="OBV7" s="111">
        <v>2.8</v>
      </c>
      <c r="OBW7" s="111">
        <v>2.1</v>
      </c>
      <c r="OBX7" s="111">
        <v>1.9</v>
      </c>
      <c r="OBY7" s="111">
        <v>2.5</v>
      </c>
      <c r="OBZ7" s="111">
        <v>3.9</v>
      </c>
      <c r="OCD7" s="93">
        <v>3.1</v>
      </c>
      <c r="OCE7" s="93">
        <v>3.4</v>
      </c>
      <c r="OCZ7" s="110" t="s">
        <v>140</v>
      </c>
      <c r="ODA7" s="111">
        <v>3.4</v>
      </c>
      <c r="ODB7" s="111">
        <v>2.8</v>
      </c>
      <c r="ODC7" s="111">
        <v>2.1</v>
      </c>
      <c r="ODD7" s="111">
        <v>1.9</v>
      </c>
      <c r="ODE7" s="111">
        <v>2.5</v>
      </c>
      <c r="ODF7" s="111">
        <v>3.9</v>
      </c>
      <c r="ODJ7" s="93">
        <v>3.1</v>
      </c>
      <c r="ODK7" s="93">
        <v>3.4</v>
      </c>
      <c r="OEF7" s="110" t="s">
        <v>140</v>
      </c>
      <c r="OEG7" s="111">
        <v>3.4</v>
      </c>
      <c r="OEH7" s="111">
        <v>2.8</v>
      </c>
      <c r="OEI7" s="111">
        <v>2.1</v>
      </c>
      <c r="OEJ7" s="111">
        <v>1.9</v>
      </c>
      <c r="OEK7" s="111">
        <v>2.5</v>
      </c>
      <c r="OEL7" s="111">
        <v>3.9</v>
      </c>
      <c r="OEP7" s="93">
        <v>3.1</v>
      </c>
      <c r="OEQ7" s="93">
        <v>3.4</v>
      </c>
      <c r="OFL7" s="110" t="s">
        <v>140</v>
      </c>
      <c r="OFM7" s="111">
        <v>3.4</v>
      </c>
      <c r="OFN7" s="111">
        <v>2.8</v>
      </c>
      <c r="OFO7" s="111">
        <v>2.1</v>
      </c>
      <c r="OFP7" s="111">
        <v>1.9</v>
      </c>
      <c r="OFQ7" s="111">
        <v>2.5</v>
      </c>
      <c r="OFR7" s="111">
        <v>3.9</v>
      </c>
      <c r="OFV7" s="93">
        <v>3.1</v>
      </c>
      <c r="OFW7" s="93">
        <v>3.4</v>
      </c>
      <c r="OGR7" s="110" t="s">
        <v>140</v>
      </c>
      <c r="OGS7" s="111">
        <v>3.4</v>
      </c>
      <c r="OGT7" s="111">
        <v>2.8</v>
      </c>
      <c r="OGU7" s="111">
        <v>2.1</v>
      </c>
      <c r="OGV7" s="111">
        <v>1.9</v>
      </c>
      <c r="OGW7" s="111">
        <v>2.5</v>
      </c>
      <c r="OGX7" s="111">
        <v>3.9</v>
      </c>
      <c r="OHB7" s="93">
        <v>3.1</v>
      </c>
      <c r="OHC7" s="93">
        <v>3.4</v>
      </c>
      <c r="OHX7" s="110" t="s">
        <v>140</v>
      </c>
      <c r="OHY7" s="111">
        <v>3.4</v>
      </c>
      <c r="OHZ7" s="111">
        <v>2.8</v>
      </c>
      <c r="OIA7" s="111">
        <v>2.1</v>
      </c>
      <c r="OIB7" s="111">
        <v>1.9</v>
      </c>
      <c r="OIC7" s="111">
        <v>2.5</v>
      </c>
      <c r="OID7" s="111">
        <v>3.9</v>
      </c>
      <c r="OIH7" s="93">
        <v>3.1</v>
      </c>
      <c r="OII7" s="93">
        <v>3.4</v>
      </c>
      <c r="OJD7" s="110" t="s">
        <v>140</v>
      </c>
      <c r="OJE7" s="111">
        <v>3.4</v>
      </c>
      <c r="OJF7" s="111">
        <v>2.8</v>
      </c>
      <c r="OJG7" s="111">
        <v>2.1</v>
      </c>
      <c r="OJH7" s="111">
        <v>1.9</v>
      </c>
      <c r="OJI7" s="111">
        <v>2.5</v>
      </c>
      <c r="OJJ7" s="111">
        <v>3.9</v>
      </c>
      <c r="OJN7" s="93">
        <v>3.1</v>
      </c>
      <c r="OJO7" s="93">
        <v>3.4</v>
      </c>
      <c r="OKJ7" s="110" t="s">
        <v>140</v>
      </c>
      <c r="OKK7" s="111">
        <v>3.4</v>
      </c>
      <c r="OKL7" s="111">
        <v>2.8</v>
      </c>
      <c r="OKM7" s="111">
        <v>2.1</v>
      </c>
      <c r="OKN7" s="111">
        <v>1.9</v>
      </c>
      <c r="OKO7" s="111">
        <v>2.5</v>
      </c>
      <c r="OKP7" s="111">
        <v>3.9</v>
      </c>
      <c r="OKT7" s="93">
        <v>3.1</v>
      </c>
      <c r="OKU7" s="93">
        <v>3.4</v>
      </c>
      <c r="OLP7" s="110" t="s">
        <v>140</v>
      </c>
      <c r="OLQ7" s="111">
        <v>3.4</v>
      </c>
      <c r="OLR7" s="111">
        <v>2.8</v>
      </c>
      <c r="OLS7" s="111">
        <v>2.1</v>
      </c>
      <c r="OLT7" s="111">
        <v>1.9</v>
      </c>
      <c r="OLU7" s="111">
        <v>2.5</v>
      </c>
      <c r="OLV7" s="111">
        <v>3.9</v>
      </c>
      <c r="OLZ7" s="93">
        <v>3.1</v>
      </c>
      <c r="OMA7" s="93">
        <v>3.4</v>
      </c>
      <c r="OMV7" s="110" t="s">
        <v>140</v>
      </c>
      <c r="OMW7" s="111">
        <v>3.4</v>
      </c>
      <c r="OMX7" s="111">
        <v>2.8</v>
      </c>
      <c r="OMY7" s="111">
        <v>2.1</v>
      </c>
      <c r="OMZ7" s="111">
        <v>1.9</v>
      </c>
      <c r="ONA7" s="111">
        <v>2.5</v>
      </c>
      <c r="ONB7" s="111">
        <v>3.9</v>
      </c>
      <c r="ONF7" s="93">
        <v>3.1</v>
      </c>
      <c r="ONG7" s="93">
        <v>3.4</v>
      </c>
      <c r="OOB7" s="110" t="s">
        <v>140</v>
      </c>
      <c r="OOC7" s="111">
        <v>3.4</v>
      </c>
      <c r="OOD7" s="111">
        <v>2.8</v>
      </c>
      <c r="OOE7" s="111">
        <v>2.1</v>
      </c>
      <c r="OOF7" s="111">
        <v>1.9</v>
      </c>
      <c r="OOG7" s="111">
        <v>2.5</v>
      </c>
      <c r="OOH7" s="111">
        <v>3.9</v>
      </c>
      <c r="OOL7" s="93">
        <v>3.1</v>
      </c>
      <c r="OOM7" s="93">
        <v>3.4</v>
      </c>
      <c r="OPH7" s="110" t="s">
        <v>140</v>
      </c>
      <c r="OPI7" s="111">
        <v>3.4</v>
      </c>
      <c r="OPJ7" s="111">
        <v>2.8</v>
      </c>
      <c r="OPK7" s="111">
        <v>2.1</v>
      </c>
      <c r="OPL7" s="111">
        <v>1.9</v>
      </c>
      <c r="OPM7" s="111">
        <v>2.5</v>
      </c>
      <c r="OPN7" s="111">
        <v>3.9</v>
      </c>
      <c r="OPR7" s="93">
        <v>3.1</v>
      </c>
      <c r="OPS7" s="93">
        <v>3.4</v>
      </c>
      <c r="OQN7" s="110" t="s">
        <v>140</v>
      </c>
      <c r="OQO7" s="111">
        <v>3.4</v>
      </c>
      <c r="OQP7" s="111">
        <v>2.8</v>
      </c>
      <c r="OQQ7" s="111">
        <v>2.1</v>
      </c>
      <c r="OQR7" s="111">
        <v>1.9</v>
      </c>
      <c r="OQS7" s="111">
        <v>2.5</v>
      </c>
      <c r="OQT7" s="111">
        <v>3.9</v>
      </c>
      <c r="OQX7" s="93">
        <v>3.1</v>
      </c>
      <c r="OQY7" s="93">
        <v>3.4</v>
      </c>
      <c r="ORT7" s="110" t="s">
        <v>140</v>
      </c>
      <c r="ORU7" s="111">
        <v>3.4</v>
      </c>
      <c r="ORV7" s="111">
        <v>2.8</v>
      </c>
      <c r="ORW7" s="111">
        <v>2.1</v>
      </c>
      <c r="ORX7" s="111">
        <v>1.9</v>
      </c>
      <c r="ORY7" s="111">
        <v>2.5</v>
      </c>
      <c r="ORZ7" s="111">
        <v>3.9</v>
      </c>
      <c r="OSD7" s="93">
        <v>3.1</v>
      </c>
      <c r="OSE7" s="93">
        <v>3.4</v>
      </c>
      <c r="OSZ7" s="110" t="s">
        <v>140</v>
      </c>
      <c r="OTA7" s="111">
        <v>3.4</v>
      </c>
      <c r="OTB7" s="111">
        <v>2.8</v>
      </c>
      <c r="OTC7" s="111">
        <v>2.1</v>
      </c>
      <c r="OTD7" s="111">
        <v>1.9</v>
      </c>
      <c r="OTE7" s="111">
        <v>2.5</v>
      </c>
      <c r="OTF7" s="111">
        <v>3.9</v>
      </c>
      <c r="OTJ7" s="93">
        <v>3.1</v>
      </c>
      <c r="OTK7" s="93">
        <v>3.4</v>
      </c>
      <c r="OUF7" s="110" t="s">
        <v>140</v>
      </c>
      <c r="OUG7" s="111">
        <v>3.4</v>
      </c>
      <c r="OUH7" s="111">
        <v>2.8</v>
      </c>
      <c r="OUI7" s="111">
        <v>2.1</v>
      </c>
      <c r="OUJ7" s="111">
        <v>1.9</v>
      </c>
      <c r="OUK7" s="111">
        <v>2.5</v>
      </c>
      <c r="OUL7" s="111">
        <v>3.9</v>
      </c>
      <c r="OUP7" s="93">
        <v>3.1</v>
      </c>
      <c r="OUQ7" s="93">
        <v>3.4</v>
      </c>
      <c r="OVL7" s="110" t="s">
        <v>140</v>
      </c>
      <c r="OVM7" s="111">
        <v>3.4</v>
      </c>
      <c r="OVN7" s="111">
        <v>2.8</v>
      </c>
      <c r="OVO7" s="111">
        <v>2.1</v>
      </c>
      <c r="OVP7" s="111">
        <v>1.9</v>
      </c>
      <c r="OVQ7" s="111">
        <v>2.5</v>
      </c>
      <c r="OVR7" s="111">
        <v>3.9</v>
      </c>
      <c r="OVV7" s="93">
        <v>3.1</v>
      </c>
      <c r="OVW7" s="93">
        <v>3.4</v>
      </c>
      <c r="OWR7" s="110" t="s">
        <v>140</v>
      </c>
      <c r="OWS7" s="111">
        <v>3.4</v>
      </c>
      <c r="OWT7" s="111">
        <v>2.8</v>
      </c>
      <c r="OWU7" s="111">
        <v>2.1</v>
      </c>
      <c r="OWV7" s="111">
        <v>1.9</v>
      </c>
      <c r="OWW7" s="111">
        <v>2.5</v>
      </c>
      <c r="OWX7" s="111">
        <v>3.9</v>
      </c>
      <c r="OXB7" s="93">
        <v>3.1</v>
      </c>
      <c r="OXC7" s="93">
        <v>3.4</v>
      </c>
      <c r="OXX7" s="110" t="s">
        <v>140</v>
      </c>
      <c r="OXY7" s="111">
        <v>3.4</v>
      </c>
      <c r="OXZ7" s="111">
        <v>2.8</v>
      </c>
      <c r="OYA7" s="111">
        <v>2.1</v>
      </c>
      <c r="OYB7" s="111">
        <v>1.9</v>
      </c>
      <c r="OYC7" s="111">
        <v>2.5</v>
      </c>
      <c r="OYD7" s="111">
        <v>3.9</v>
      </c>
      <c r="OYH7" s="93">
        <v>3.1</v>
      </c>
      <c r="OYI7" s="93">
        <v>3.4</v>
      </c>
      <c r="OZD7" s="110" t="s">
        <v>140</v>
      </c>
      <c r="OZE7" s="111">
        <v>3.4</v>
      </c>
      <c r="OZF7" s="111">
        <v>2.8</v>
      </c>
      <c r="OZG7" s="111">
        <v>2.1</v>
      </c>
      <c r="OZH7" s="111">
        <v>1.9</v>
      </c>
      <c r="OZI7" s="111">
        <v>2.5</v>
      </c>
      <c r="OZJ7" s="111">
        <v>3.9</v>
      </c>
      <c r="OZN7" s="93">
        <v>3.1</v>
      </c>
      <c r="OZO7" s="93">
        <v>3.4</v>
      </c>
      <c r="PAJ7" s="110" t="s">
        <v>140</v>
      </c>
      <c r="PAK7" s="111">
        <v>3.4</v>
      </c>
      <c r="PAL7" s="111">
        <v>2.8</v>
      </c>
      <c r="PAM7" s="111">
        <v>2.1</v>
      </c>
      <c r="PAN7" s="111">
        <v>1.9</v>
      </c>
      <c r="PAO7" s="111">
        <v>2.5</v>
      </c>
      <c r="PAP7" s="111">
        <v>3.9</v>
      </c>
      <c r="PAT7" s="93">
        <v>3.1</v>
      </c>
      <c r="PAU7" s="93">
        <v>3.4</v>
      </c>
      <c r="PBP7" s="110" t="s">
        <v>140</v>
      </c>
      <c r="PBQ7" s="111">
        <v>3.4</v>
      </c>
      <c r="PBR7" s="111">
        <v>2.8</v>
      </c>
      <c r="PBS7" s="111">
        <v>2.1</v>
      </c>
      <c r="PBT7" s="111">
        <v>1.9</v>
      </c>
      <c r="PBU7" s="111">
        <v>2.5</v>
      </c>
      <c r="PBV7" s="111">
        <v>3.9</v>
      </c>
      <c r="PBZ7" s="93">
        <v>3.1</v>
      </c>
      <c r="PCA7" s="93">
        <v>3.4</v>
      </c>
      <c r="PCV7" s="110" t="s">
        <v>140</v>
      </c>
      <c r="PCW7" s="111">
        <v>3.4</v>
      </c>
      <c r="PCX7" s="111">
        <v>2.8</v>
      </c>
      <c r="PCY7" s="111">
        <v>2.1</v>
      </c>
      <c r="PCZ7" s="111">
        <v>1.9</v>
      </c>
      <c r="PDA7" s="111">
        <v>2.5</v>
      </c>
      <c r="PDB7" s="111">
        <v>3.9</v>
      </c>
      <c r="PDF7" s="93">
        <v>3.1</v>
      </c>
      <c r="PDG7" s="93">
        <v>3.4</v>
      </c>
      <c r="PEB7" s="110" t="s">
        <v>140</v>
      </c>
      <c r="PEC7" s="111">
        <v>3.4</v>
      </c>
      <c r="PED7" s="111">
        <v>2.8</v>
      </c>
      <c r="PEE7" s="111">
        <v>2.1</v>
      </c>
      <c r="PEF7" s="111">
        <v>1.9</v>
      </c>
      <c r="PEG7" s="111">
        <v>2.5</v>
      </c>
      <c r="PEH7" s="111">
        <v>3.9</v>
      </c>
      <c r="PEL7" s="93">
        <v>3.1</v>
      </c>
      <c r="PEM7" s="93">
        <v>3.4</v>
      </c>
      <c r="PFH7" s="110" t="s">
        <v>140</v>
      </c>
      <c r="PFI7" s="111">
        <v>3.4</v>
      </c>
      <c r="PFJ7" s="111">
        <v>2.8</v>
      </c>
      <c r="PFK7" s="111">
        <v>2.1</v>
      </c>
      <c r="PFL7" s="111">
        <v>1.9</v>
      </c>
      <c r="PFM7" s="111">
        <v>2.5</v>
      </c>
      <c r="PFN7" s="111">
        <v>3.9</v>
      </c>
      <c r="PFR7" s="93">
        <v>3.1</v>
      </c>
      <c r="PFS7" s="93">
        <v>3.4</v>
      </c>
      <c r="PGN7" s="110" t="s">
        <v>140</v>
      </c>
      <c r="PGO7" s="111">
        <v>3.4</v>
      </c>
      <c r="PGP7" s="111">
        <v>2.8</v>
      </c>
      <c r="PGQ7" s="111">
        <v>2.1</v>
      </c>
      <c r="PGR7" s="111">
        <v>1.9</v>
      </c>
      <c r="PGS7" s="111">
        <v>2.5</v>
      </c>
      <c r="PGT7" s="111">
        <v>3.9</v>
      </c>
      <c r="PGX7" s="93">
        <v>3.1</v>
      </c>
      <c r="PGY7" s="93">
        <v>3.4</v>
      </c>
      <c r="PHT7" s="110" t="s">
        <v>140</v>
      </c>
      <c r="PHU7" s="111">
        <v>3.4</v>
      </c>
      <c r="PHV7" s="111">
        <v>2.8</v>
      </c>
      <c r="PHW7" s="111">
        <v>2.1</v>
      </c>
      <c r="PHX7" s="111">
        <v>1.9</v>
      </c>
      <c r="PHY7" s="111">
        <v>2.5</v>
      </c>
      <c r="PHZ7" s="111">
        <v>3.9</v>
      </c>
      <c r="PID7" s="93">
        <v>3.1</v>
      </c>
      <c r="PIE7" s="93">
        <v>3.4</v>
      </c>
      <c r="PIZ7" s="110" t="s">
        <v>140</v>
      </c>
      <c r="PJA7" s="111">
        <v>3.4</v>
      </c>
      <c r="PJB7" s="111">
        <v>2.8</v>
      </c>
      <c r="PJC7" s="111">
        <v>2.1</v>
      </c>
      <c r="PJD7" s="111">
        <v>1.9</v>
      </c>
      <c r="PJE7" s="111">
        <v>2.5</v>
      </c>
      <c r="PJF7" s="111">
        <v>3.9</v>
      </c>
      <c r="PJJ7" s="93">
        <v>3.1</v>
      </c>
      <c r="PJK7" s="93">
        <v>3.4</v>
      </c>
      <c r="PKF7" s="110" t="s">
        <v>140</v>
      </c>
      <c r="PKG7" s="111">
        <v>3.4</v>
      </c>
      <c r="PKH7" s="111">
        <v>2.8</v>
      </c>
      <c r="PKI7" s="111">
        <v>2.1</v>
      </c>
      <c r="PKJ7" s="111">
        <v>1.9</v>
      </c>
      <c r="PKK7" s="111">
        <v>2.5</v>
      </c>
      <c r="PKL7" s="111">
        <v>3.9</v>
      </c>
      <c r="PKP7" s="93">
        <v>3.1</v>
      </c>
      <c r="PKQ7" s="93">
        <v>3.4</v>
      </c>
      <c r="PLL7" s="110" t="s">
        <v>140</v>
      </c>
      <c r="PLM7" s="111">
        <v>3.4</v>
      </c>
      <c r="PLN7" s="111">
        <v>2.8</v>
      </c>
      <c r="PLO7" s="111">
        <v>2.1</v>
      </c>
      <c r="PLP7" s="111">
        <v>1.9</v>
      </c>
      <c r="PLQ7" s="111">
        <v>2.5</v>
      </c>
      <c r="PLR7" s="111">
        <v>3.9</v>
      </c>
      <c r="PLV7" s="93">
        <v>3.1</v>
      </c>
      <c r="PLW7" s="93">
        <v>3.4</v>
      </c>
      <c r="PMR7" s="110" t="s">
        <v>140</v>
      </c>
      <c r="PMS7" s="111">
        <v>3.4</v>
      </c>
      <c r="PMT7" s="111">
        <v>2.8</v>
      </c>
      <c r="PMU7" s="111">
        <v>2.1</v>
      </c>
      <c r="PMV7" s="111">
        <v>1.9</v>
      </c>
      <c r="PMW7" s="111">
        <v>2.5</v>
      </c>
      <c r="PMX7" s="111">
        <v>3.9</v>
      </c>
      <c r="PNB7" s="93">
        <v>3.1</v>
      </c>
      <c r="PNC7" s="93">
        <v>3.4</v>
      </c>
      <c r="PNX7" s="110" t="s">
        <v>140</v>
      </c>
      <c r="PNY7" s="111">
        <v>3.4</v>
      </c>
      <c r="PNZ7" s="111">
        <v>2.8</v>
      </c>
      <c r="POA7" s="111">
        <v>2.1</v>
      </c>
      <c r="POB7" s="111">
        <v>1.9</v>
      </c>
      <c r="POC7" s="111">
        <v>2.5</v>
      </c>
      <c r="POD7" s="111">
        <v>3.9</v>
      </c>
      <c r="POH7" s="93">
        <v>3.1</v>
      </c>
      <c r="POI7" s="93">
        <v>3.4</v>
      </c>
      <c r="PPD7" s="110" t="s">
        <v>140</v>
      </c>
      <c r="PPE7" s="111">
        <v>3.4</v>
      </c>
      <c r="PPF7" s="111">
        <v>2.8</v>
      </c>
      <c r="PPG7" s="111">
        <v>2.1</v>
      </c>
      <c r="PPH7" s="111">
        <v>1.9</v>
      </c>
      <c r="PPI7" s="111">
        <v>2.5</v>
      </c>
      <c r="PPJ7" s="111">
        <v>3.9</v>
      </c>
      <c r="PPN7" s="93">
        <v>3.1</v>
      </c>
      <c r="PPO7" s="93">
        <v>3.4</v>
      </c>
      <c r="PQJ7" s="110" t="s">
        <v>140</v>
      </c>
      <c r="PQK7" s="111">
        <v>3.4</v>
      </c>
      <c r="PQL7" s="111">
        <v>2.8</v>
      </c>
      <c r="PQM7" s="111">
        <v>2.1</v>
      </c>
      <c r="PQN7" s="111">
        <v>1.9</v>
      </c>
      <c r="PQO7" s="111">
        <v>2.5</v>
      </c>
      <c r="PQP7" s="111">
        <v>3.9</v>
      </c>
      <c r="PQT7" s="93">
        <v>3.1</v>
      </c>
      <c r="PQU7" s="93">
        <v>3.4</v>
      </c>
      <c r="PRP7" s="110" t="s">
        <v>140</v>
      </c>
      <c r="PRQ7" s="111">
        <v>3.4</v>
      </c>
      <c r="PRR7" s="111">
        <v>2.8</v>
      </c>
      <c r="PRS7" s="111">
        <v>2.1</v>
      </c>
      <c r="PRT7" s="111">
        <v>1.9</v>
      </c>
      <c r="PRU7" s="111">
        <v>2.5</v>
      </c>
      <c r="PRV7" s="111">
        <v>3.9</v>
      </c>
      <c r="PRZ7" s="93">
        <v>3.1</v>
      </c>
      <c r="PSA7" s="93">
        <v>3.4</v>
      </c>
      <c r="PSV7" s="110" t="s">
        <v>140</v>
      </c>
      <c r="PSW7" s="111">
        <v>3.4</v>
      </c>
      <c r="PSX7" s="111">
        <v>2.8</v>
      </c>
      <c r="PSY7" s="111">
        <v>2.1</v>
      </c>
      <c r="PSZ7" s="111">
        <v>1.9</v>
      </c>
      <c r="PTA7" s="111">
        <v>2.5</v>
      </c>
      <c r="PTB7" s="111">
        <v>3.9</v>
      </c>
      <c r="PTF7" s="93">
        <v>3.1</v>
      </c>
      <c r="PTG7" s="93">
        <v>3.4</v>
      </c>
      <c r="PUB7" s="110" t="s">
        <v>140</v>
      </c>
      <c r="PUC7" s="111">
        <v>3.4</v>
      </c>
      <c r="PUD7" s="111">
        <v>2.8</v>
      </c>
      <c r="PUE7" s="111">
        <v>2.1</v>
      </c>
      <c r="PUF7" s="111">
        <v>1.9</v>
      </c>
      <c r="PUG7" s="111">
        <v>2.5</v>
      </c>
      <c r="PUH7" s="111">
        <v>3.9</v>
      </c>
      <c r="PUL7" s="93">
        <v>3.1</v>
      </c>
      <c r="PUM7" s="93">
        <v>3.4</v>
      </c>
      <c r="PVH7" s="110" t="s">
        <v>140</v>
      </c>
      <c r="PVI7" s="111">
        <v>3.4</v>
      </c>
      <c r="PVJ7" s="111">
        <v>2.8</v>
      </c>
      <c r="PVK7" s="111">
        <v>2.1</v>
      </c>
      <c r="PVL7" s="111">
        <v>1.9</v>
      </c>
      <c r="PVM7" s="111">
        <v>2.5</v>
      </c>
      <c r="PVN7" s="111">
        <v>3.9</v>
      </c>
      <c r="PVR7" s="93">
        <v>3.1</v>
      </c>
      <c r="PVS7" s="93">
        <v>3.4</v>
      </c>
      <c r="PWN7" s="110" t="s">
        <v>140</v>
      </c>
      <c r="PWO7" s="111">
        <v>3.4</v>
      </c>
      <c r="PWP7" s="111">
        <v>2.8</v>
      </c>
      <c r="PWQ7" s="111">
        <v>2.1</v>
      </c>
      <c r="PWR7" s="111">
        <v>1.9</v>
      </c>
      <c r="PWS7" s="111">
        <v>2.5</v>
      </c>
      <c r="PWT7" s="111">
        <v>3.9</v>
      </c>
      <c r="PWX7" s="93">
        <v>3.1</v>
      </c>
      <c r="PWY7" s="93">
        <v>3.4</v>
      </c>
      <c r="PXT7" s="110" t="s">
        <v>140</v>
      </c>
      <c r="PXU7" s="111">
        <v>3.4</v>
      </c>
      <c r="PXV7" s="111">
        <v>2.8</v>
      </c>
      <c r="PXW7" s="111">
        <v>2.1</v>
      </c>
      <c r="PXX7" s="111">
        <v>1.9</v>
      </c>
      <c r="PXY7" s="111">
        <v>2.5</v>
      </c>
      <c r="PXZ7" s="111">
        <v>3.9</v>
      </c>
      <c r="PYD7" s="93">
        <v>3.1</v>
      </c>
      <c r="PYE7" s="93">
        <v>3.4</v>
      </c>
      <c r="PYZ7" s="110" t="s">
        <v>140</v>
      </c>
      <c r="PZA7" s="111">
        <v>3.4</v>
      </c>
      <c r="PZB7" s="111">
        <v>2.8</v>
      </c>
      <c r="PZC7" s="111">
        <v>2.1</v>
      </c>
      <c r="PZD7" s="111">
        <v>1.9</v>
      </c>
      <c r="PZE7" s="111">
        <v>2.5</v>
      </c>
      <c r="PZF7" s="111">
        <v>3.9</v>
      </c>
      <c r="PZJ7" s="93">
        <v>3.1</v>
      </c>
      <c r="PZK7" s="93">
        <v>3.4</v>
      </c>
      <c r="QAF7" s="110" t="s">
        <v>140</v>
      </c>
      <c r="QAG7" s="111">
        <v>3.4</v>
      </c>
      <c r="QAH7" s="111">
        <v>2.8</v>
      </c>
      <c r="QAI7" s="111">
        <v>2.1</v>
      </c>
      <c r="QAJ7" s="111">
        <v>1.9</v>
      </c>
      <c r="QAK7" s="111">
        <v>2.5</v>
      </c>
      <c r="QAL7" s="111">
        <v>3.9</v>
      </c>
      <c r="QAP7" s="93">
        <v>3.1</v>
      </c>
      <c r="QAQ7" s="93">
        <v>3.4</v>
      </c>
      <c r="QBL7" s="110" t="s">
        <v>140</v>
      </c>
      <c r="QBM7" s="111">
        <v>3.4</v>
      </c>
      <c r="QBN7" s="111">
        <v>2.8</v>
      </c>
      <c r="QBO7" s="111">
        <v>2.1</v>
      </c>
      <c r="QBP7" s="111">
        <v>1.9</v>
      </c>
      <c r="QBQ7" s="111">
        <v>2.5</v>
      </c>
      <c r="QBR7" s="111">
        <v>3.9</v>
      </c>
      <c r="QBV7" s="93">
        <v>3.1</v>
      </c>
      <c r="QBW7" s="93">
        <v>3.4</v>
      </c>
      <c r="QCR7" s="110" t="s">
        <v>140</v>
      </c>
      <c r="QCS7" s="111">
        <v>3.4</v>
      </c>
      <c r="QCT7" s="111">
        <v>2.8</v>
      </c>
      <c r="QCU7" s="111">
        <v>2.1</v>
      </c>
      <c r="QCV7" s="111">
        <v>1.9</v>
      </c>
      <c r="QCW7" s="111">
        <v>2.5</v>
      </c>
      <c r="QCX7" s="111">
        <v>3.9</v>
      </c>
      <c r="QDB7" s="93">
        <v>3.1</v>
      </c>
      <c r="QDC7" s="93">
        <v>3.4</v>
      </c>
      <c r="QDX7" s="110" t="s">
        <v>140</v>
      </c>
      <c r="QDY7" s="111">
        <v>3.4</v>
      </c>
      <c r="QDZ7" s="111">
        <v>2.8</v>
      </c>
      <c r="QEA7" s="111">
        <v>2.1</v>
      </c>
      <c r="QEB7" s="111">
        <v>1.9</v>
      </c>
      <c r="QEC7" s="111">
        <v>2.5</v>
      </c>
      <c r="QED7" s="111">
        <v>3.9</v>
      </c>
      <c r="QEH7" s="93">
        <v>3.1</v>
      </c>
      <c r="QEI7" s="93">
        <v>3.4</v>
      </c>
      <c r="QFD7" s="110" t="s">
        <v>140</v>
      </c>
      <c r="QFE7" s="111">
        <v>3.4</v>
      </c>
      <c r="QFF7" s="111">
        <v>2.8</v>
      </c>
      <c r="QFG7" s="111">
        <v>2.1</v>
      </c>
      <c r="QFH7" s="111">
        <v>1.9</v>
      </c>
      <c r="QFI7" s="111">
        <v>2.5</v>
      </c>
      <c r="QFJ7" s="111">
        <v>3.9</v>
      </c>
      <c r="QFN7" s="93">
        <v>3.1</v>
      </c>
      <c r="QFO7" s="93">
        <v>3.4</v>
      </c>
      <c r="QGJ7" s="110" t="s">
        <v>140</v>
      </c>
      <c r="QGK7" s="111">
        <v>3.4</v>
      </c>
      <c r="QGL7" s="111">
        <v>2.8</v>
      </c>
      <c r="QGM7" s="111">
        <v>2.1</v>
      </c>
      <c r="QGN7" s="111">
        <v>1.9</v>
      </c>
      <c r="QGO7" s="111">
        <v>2.5</v>
      </c>
      <c r="QGP7" s="111">
        <v>3.9</v>
      </c>
      <c r="QGT7" s="93">
        <v>3.1</v>
      </c>
      <c r="QGU7" s="93">
        <v>3.4</v>
      </c>
      <c r="QHP7" s="110" t="s">
        <v>140</v>
      </c>
      <c r="QHQ7" s="111">
        <v>3.4</v>
      </c>
      <c r="QHR7" s="111">
        <v>2.8</v>
      </c>
      <c r="QHS7" s="111">
        <v>2.1</v>
      </c>
      <c r="QHT7" s="111">
        <v>1.9</v>
      </c>
      <c r="QHU7" s="111">
        <v>2.5</v>
      </c>
      <c r="QHV7" s="111">
        <v>3.9</v>
      </c>
      <c r="QHZ7" s="93">
        <v>3.1</v>
      </c>
      <c r="QIA7" s="93">
        <v>3.4</v>
      </c>
      <c r="QIV7" s="110" t="s">
        <v>140</v>
      </c>
      <c r="QIW7" s="111">
        <v>3.4</v>
      </c>
      <c r="QIX7" s="111">
        <v>2.8</v>
      </c>
      <c r="QIY7" s="111">
        <v>2.1</v>
      </c>
      <c r="QIZ7" s="111">
        <v>1.9</v>
      </c>
      <c r="QJA7" s="111">
        <v>2.5</v>
      </c>
      <c r="QJB7" s="111">
        <v>3.9</v>
      </c>
      <c r="QJF7" s="93">
        <v>3.1</v>
      </c>
      <c r="QJG7" s="93">
        <v>3.4</v>
      </c>
      <c r="QKB7" s="110" t="s">
        <v>140</v>
      </c>
      <c r="QKC7" s="111">
        <v>3.4</v>
      </c>
      <c r="QKD7" s="111">
        <v>2.8</v>
      </c>
      <c r="QKE7" s="111">
        <v>2.1</v>
      </c>
      <c r="QKF7" s="111">
        <v>1.9</v>
      </c>
      <c r="QKG7" s="111">
        <v>2.5</v>
      </c>
      <c r="QKH7" s="111">
        <v>3.9</v>
      </c>
      <c r="QKL7" s="93">
        <v>3.1</v>
      </c>
      <c r="QKM7" s="93">
        <v>3.4</v>
      </c>
      <c r="QLH7" s="110" t="s">
        <v>140</v>
      </c>
      <c r="QLI7" s="111">
        <v>3.4</v>
      </c>
      <c r="QLJ7" s="111">
        <v>2.8</v>
      </c>
      <c r="QLK7" s="111">
        <v>2.1</v>
      </c>
      <c r="QLL7" s="111">
        <v>1.9</v>
      </c>
      <c r="QLM7" s="111">
        <v>2.5</v>
      </c>
      <c r="QLN7" s="111">
        <v>3.9</v>
      </c>
      <c r="QLR7" s="93">
        <v>3.1</v>
      </c>
      <c r="QLS7" s="93">
        <v>3.4</v>
      </c>
      <c r="QMN7" s="110" t="s">
        <v>140</v>
      </c>
      <c r="QMO7" s="111">
        <v>3.4</v>
      </c>
      <c r="QMP7" s="111">
        <v>2.8</v>
      </c>
      <c r="QMQ7" s="111">
        <v>2.1</v>
      </c>
      <c r="QMR7" s="111">
        <v>1.9</v>
      </c>
      <c r="QMS7" s="111">
        <v>2.5</v>
      </c>
      <c r="QMT7" s="111">
        <v>3.9</v>
      </c>
      <c r="QMX7" s="93">
        <v>3.1</v>
      </c>
      <c r="QMY7" s="93">
        <v>3.4</v>
      </c>
      <c r="QNT7" s="110" t="s">
        <v>140</v>
      </c>
      <c r="QNU7" s="111">
        <v>3.4</v>
      </c>
      <c r="QNV7" s="111">
        <v>2.8</v>
      </c>
      <c r="QNW7" s="111">
        <v>2.1</v>
      </c>
      <c r="QNX7" s="111">
        <v>1.9</v>
      </c>
      <c r="QNY7" s="111">
        <v>2.5</v>
      </c>
      <c r="QNZ7" s="111">
        <v>3.9</v>
      </c>
      <c r="QOD7" s="93">
        <v>3.1</v>
      </c>
      <c r="QOE7" s="93">
        <v>3.4</v>
      </c>
      <c r="QOZ7" s="110" t="s">
        <v>140</v>
      </c>
      <c r="QPA7" s="111">
        <v>3.4</v>
      </c>
      <c r="QPB7" s="111">
        <v>2.8</v>
      </c>
      <c r="QPC7" s="111">
        <v>2.1</v>
      </c>
      <c r="QPD7" s="111">
        <v>1.9</v>
      </c>
      <c r="QPE7" s="111">
        <v>2.5</v>
      </c>
      <c r="QPF7" s="111">
        <v>3.9</v>
      </c>
      <c r="QPJ7" s="93">
        <v>3.1</v>
      </c>
      <c r="QPK7" s="93">
        <v>3.4</v>
      </c>
      <c r="QQF7" s="110" t="s">
        <v>140</v>
      </c>
      <c r="QQG7" s="111">
        <v>3.4</v>
      </c>
      <c r="QQH7" s="111">
        <v>2.8</v>
      </c>
      <c r="QQI7" s="111">
        <v>2.1</v>
      </c>
      <c r="QQJ7" s="111">
        <v>1.9</v>
      </c>
      <c r="QQK7" s="111">
        <v>2.5</v>
      </c>
      <c r="QQL7" s="111">
        <v>3.9</v>
      </c>
      <c r="QQP7" s="93">
        <v>3.1</v>
      </c>
      <c r="QQQ7" s="93">
        <v>3.4</v>
      </c>
      <c r="QRL7" s="110" t="s">
        <v>140</v>
      </c>
      <c r="QRM7" s="111">
        <v>3.4</v>
      </c>
      <c r="QRN7" s="111">
        <v>2.8</v>
      </c>
      <c r="QRO7" s="111">
        <v>2.1</v>
      </c>
      <c r="QRP7" s="111">
        <v>1.9</v>
      </c>
      <c r="QRQ7" s="111">
        <v>2.5</v>
      </c>
      <c r="QRR7" s="111">
        <v>3.9</v>
      </c>
      <c r="QRV7" s="93">
        <v>3.1</v>
      </c>
      <c r="QRW7" s="93">
        <v>3.4</v>
      </c>
      <c r="QSR7" s="110" t="s">
        <v>140</v>
      </c>
      <c r="QSS7" s="111">
        <v>3.4</v>
      </c>
      <c r="QST7" s="111">
        <v>2.8</v>
      </c>
      <c r="QSU7" s="111">
        <v>2.1</v>
      </c>
      <c r="QSV7" s="111">
        <v>1.9</v>
      </c>
      <c r="QSW7" s="111">
        <v>2.5</v>
      </c>
      <c r="QSX7" s="111">
        <v>3.9</v>
      </c>
      <c r="QTB7" s="93">
        <v>3.1</v>
      </c>
      <c r="QTC7" s="93">
        <v>3.4</v>
      </c>
      <c r="QTX7" s="110" t="s">
        <v>140</v>
      </c>
      <c r="QTY7" s="111">
        <v>3.4</v>
      </c>
      <c r="QTZ7" s="111">
        <v>2.8</v>
      </c>
      <c r="QUA7" s="111">
        <v>2.1</v>
      </c>
      <c r="QUB7" s="111">
        <v>1.9</v>
      </c>
      <c r="QUC7" s="111">
        <v>2.5</v>
      </c>
      <c r="QUD7" s="111">
        <v>3.9</v>
      </c>
      <c r="QUH7" s="93">
        <v>3.1</v>
      </c>
      <c r="QUI7" s="93">
        <v>3.4</v>
      </c>
      <c r="QVD7" s="110" t="s">
        <v>140</v>
      </c>
      <c r="QVE7" s="111">
        <v>3.4</v>
      </c>
      <c r="QVF7" s="111">
        <v>2.8</v>
      </c>
      <c r="QVG7" s="111">
        <v>2.1</v>
      </c>
      <c r="QVH7" s="111">
        <v>1.9</v>
      </c>
      <c r="QVI7" s="111">
        <v>2.5</v>
      </c>
      <c r="QVJ7" s="111">
        <v>3.9</v>
      </c>
      <c r="QVN7" s="93">
        <v>3.1</v>
      </c>
      <c r="QVO7" s="93">
        <v>3.4</v>
      </c>
      <c r="QWJ7" s="110" t="s">
        <v>140</v>
      </c>
      <c r="QWK7" s="111">
        <v>3.4</v>
      </c>
      <c r="QWL7" s="111">
        <v>2.8</v>
      </c>
      <c r="QWM7" s="111">
        <v>2.1</v>
      </c>
      <c r="QWN7" s="111">
        <v>1.9</v>
      </c>
      <c r="QWO7" s="111">
        <v>2.5</v>
      </c>
      <c r="QWP7" s="111">
        <v>3.9</v>
      </c>
      <c r="QWT7" s="93">
        <v>3.1</v>
      </c>
      <c r="QWU7" s="93">
        <v>3.4</v>
      </c>
      <c r="QXP7" s="110" t="s">
        <v>140</v>
      </c>
      <c r="QXQ7" s="111">
        <v>3.4</v>
      </c>
      <c r="QXR7" s="111">
        <v>2.8</v>
      </c>
      <c r="QXS7" s="111">
        <v>2.1</v>
      </c>
      <c r="QXT7" s="111">
        <v>1.9</v>
      </c>
      <c r="QXU7" s="111">
        <v>2.5</v>
      </c>
      <c r="QXV7" s="111">
        <v>3.9</v>
      </c>
      <c r="QXZ7" s="93">
        <v>3.1</v>
      </c>
      <c r="QYA7" s="93">
        <v>3.4</v>
      </c>
      <c r="QYV7" s="110" t="s">
        <v>140</v>
      </c>
      <c r="QYW7" s="111">
        <v>3.4</v>
      </c>
      <c r="QYX7" s="111">
        <v>2.8</v>
      </c>
      <c r="QYY7" s="111">
        <v>2.1</v>
      </c>
      <c r="QYZ7" s="111">
        <v>1.9</v>
      </c>
      <c r="QZA7" s="111">
        <v>2.5</v>
      </c>
      <c r="QZB7" s="111">
        <v>3.9</v>
      </c>
      <c r="QZF7" s="93">
        <v>3.1</v>
      </c>
      <c r="QZG7" s="93">
        <v>3.4</v>
      </c>
      <c r="RAB7" s="110" t="s">
        <v>140</v>
      </c>
      <c r="RAC7" s="111">
        <v>3.4</v>
      </c>
      <c r="RAD7" s="111">
        <v>2.8</v>
      </c>
      <c r="RAE7" s="111">
        <v>2.1</v>
      </c>
      <c r="RAF7" s="111">
        <v>1.9</v>
      </c>
      <c r="RAG7" s="111">
        <v>2.5</v>
      </c>
      <c r="RAH7" s="111">
        <v>3.9</v>
      </c>
      <c r="RAL7" s="93">
        <v>3.1</v>
      </c>
      <c r="RAM7" s="93">
        <v>3.4</v>
      </c>
      <c r="RBH7" s="110" t="s">
        <v>140</v>
      </c>
      <c r="RBI7" s="111">
        <v>3.4</v>
      </c>
      <c r="RBJ7" s="111">
        <v>2.8</v>
      </c>
      <c r="RBK7" s="111">
        <v>2.1</v>
      </c>
      <c r="RBL7" s="111">
        <v>1.9</v>
      </c>
      <c r="RBM7" s="111">
        <v>2.5</v>
      </c>
      <c r="RBN7" s="111">
        <v>3.9</v>
      </c>
      <c r="RBR7" s="93">
        <v>3.1</v>
      </c>
      <c r="RBS7" s="93">
        <v>3.4</v>
      </c>
      <c r="RCN7" s="110" t="s">
        <v>140</v>
      </c>
      <c r="RCO7" s="111">
        <v>3.4</v>
      </c>
      <c r="RCP7" s="111">
        <v>2.8</v>
      </c>
      <c r="RCQ7" s="111">
        <v>2.1</v>
      </c>
      <c r="RCR7" s="111">
        <v>1.9</v>
      </c>
      <c r="RCS7" s="111">
        <v>2.5</v>
      </c>
      <c r="RCT7" s="111">
        <v>3.9</v>
      </c>
      <c r="RCX7" s="93">
        <v>3.1</v>
      </c>
      <c r="RCY7" s="93">
        <v>3.4</v>
      </c>
      <c r="RDT7" s="110" t="s">
        <v>140</v>
      </c>
      <c r="RDU7" s="111">
        <v>3.4</v>
      </c>
      <c r="RDV7" s="111">
        <v>2.8</v>
      </c>
      <c r="RDW7" s="111">
        <v>2.1</v>
      </c>
      <c r="RDX7" s="111">
        <v>1.9</v>
      </c>
      <c r="RDY7" s="111">
        <v>2.5</v>
      </c>
      <c r="RDZ7" s="111">
        <v>3.9</v>
      </c>
      <c r="RED7" s="93">
        <v>3.1</v>
      </c>
      <c r="REE7" s="93">
        <v>3.4</v>
      </c>
      <c r="REZ7" s="110" t="s">
        <v>140</v>
      </c>
      <c r="RFA7" s="111">
        <v>3.4</v>
      </c>
      <c r="RFB7" s="111">
        <v>2.8</v>
      </c>
      <c r="RFC7" s="111">
        <v>2.1</v>
      </c>
      <c r="RFD7" s="111">
        <v>1.9</v>
      </c>
      <c r="RFE7" s="111">
        <v>2.5</v>
      </c>
      <c r="RFF7" s="111">
        <v>3.9</v>
      </c>
      <c r="RFJ7" s="93">
        <v>3.1</v>
      </c>
      <c r="RFK7" s="93">
        <v>3.4</v>
      </c>
      <c r="RGF7" s="110" t="s">
        <v>140</v>
      </c>
      <c r="RGG7" s="111">
        <v>3.4</v>
      </c>
      <c r="RGH7" s="111">
        <v>2.8</v>
      </c>
      <c r="RGI7" s="111">
        <v>2.1</v>
      </c>
      <c r="RGJ7" s="111">
        <v>1.9</v>
      </c>
      <c r="RGK7" s="111">
        <v>2.5</v>
      </c>
      <c r="RGL7" s="111">
        <v>3.9</v>
      </c>
      <c r="RGP7" s="93">
        <v>3.1</v>
      </c>
      <c r="RGQ7" s="93">
        <v>3.4</v>
      </c>
      <c r="RHL7" s="110" t="s">
        <v>140</v>
      </c>
      <c r="RHM7" s="111">
        <v>3.4</v>
      </c>
      <c r="RHN7" s="111">
        <v>2.8</v>
      </c>
      <c r="RHO7" s="111">
        <v>2.1</v>
      </c>
      <c r="RHP7" s="111">
        <v>1.9</v>
      </c>
      <c r="RHQ7" s="111">
        <v>2.5</v>
      </c>
      <c r="RHR7" s="111">
        <v>3.9</v>
      </c>
      <c r="RHV7" s="93">
        <v>3.1</v>
      </c>
      <c r="RHW7" s="93">
        <v>3.4</v>
      </c>
      <c r="RIR7" s="110" t="s">
        <v>140</v>
      </c>
      <c r="RIS7" s="111">
        <v>3.4</v>
      </c>
      <c r="RIT7" s="111">
        <v>2.8</v>
      </c>
      <c r="RIU7" s="111">
        <v>2.1</v>
      </c>
      <c r="RIV7" s="111">
        <v>1.9</v>
      </c>
      <c r="RIW7" s="111">
        <v>2.5</v>
      </c>
      <c r="RIX7" s="111">
        <v>3.9</v>
      </c>
      <c r="RJB7" s="93">
        <v>3.1</v>
      </c>
      <c r="RJC7" s="93">
        <v>3.4</v>
      </c>
      <c r="RJX7" s="110" t="s">
        <v>140</v>
      </c>
      <c r="RJY7" s="111">
        <v>3.4</v>
      </c>
      <c r="RJZ7" s="111">
        <v>2.8</v>
      </c>
      <c r="RKA7" s="111">
        <v>2.1</v>
      </c>
      <c r="RKB7" s="111">
        <v>1.9</v>
      </c>
      <c r="RKC7" s="111">
        <v>2.5</v>
      </c>
      <c r="RKD7" s="111">
        <v>3.9</v>
      </c>
      <c r="RKH7" s="93">
        <v>3.1</v>
      </c>
      <c r="RKI7" s="93">
        <v>3.4</v>
      </c>
      <c r="RLD7" s="110" t="s">
        <v>140</v>
      </c>
      <c r="RLE7" s="111">
        <v>3.4</v>
      </c>
      <c r="RLF7" s="111">
        <v>2.8</v>
      </c>
      <c r="RLG7" s="111">
        <v>2.1</v>
      </c>
      <c r="RLH7" s="111">
        <v>1.9</v>
      </c>
      <c r="RLI7" s="111">
        <v>2.5</v>
      </c>
      <c r="RLJ7" s="111">
        <v>3.9</v>
      </c>
      <c r="RLN7" s="93">
        <v>3.1</v>
      </c>
      <c r="RLO7" s="93">
        <v>3.4</v>
      </c>
      <c r="RMJ7" s="110" t="s">
        <v>140</v>
      </c>
      <c r="RMK7" s="111">
        <v>3.4</v>
      </c>
      <c r="RML7" s="111">
        <v>2.8</v>
      </c>
      <c r="RMM7" s="111">
        <v>2.1</v>
      </c>
      <c r="RMN7" s="111">
        <v>1.9</v>
      </c>
      <c r="RMO7" s="111">
        <v>2.5</v>
      </c>
      <c r="RMP7" s="111">
        <v>3.9</v>
      </c>
      <c r="RMT7" s="93">
        <v>3.1</v>
      </c>
      <c r="RMU7" s="93">
        <v>3.4</v>
      </c>
      <c r="RNP7" s="110" t="s">
        <v>140</v>
      </c>
      <c r="RNQ7" s="111">
        <v>3.4</v>
      </c>
      <c r="RNR7" s="111">
        <v>2.8</v>
      </c>
      <c r="RNS7" s="111">
        <v>2.1</v>
      </c>
      <c r="RNT7" s="111">
        <v>1.9</v>
      </c>
      <c r="RNU7" s="111">
        <v>2.5</v>
      </c>
      <c r="RNV7" s="111">
        <v>3.9</v>
      </c>
      <c r="RNZ7" s="93">
        <v>3.1</v>
      </c>
      <c r="ROA7" s="93">
        <v>3.4</v>
      </c>
      <c r="ROV7" s="110" t="s">
        <v>140</v>
      </c>
      <c r="ROW7" s="111">
        <v>3.4</v>
      </c>
      <c r="ROX7" s="111">
        <v>2.8</v>
      </c>
      <c r="ROY7" s="111">
        <v>2.1</v>
      </c>
      <c r="ROZ7" s="111">
        <v>1.9</v>
      </c>
      <c r="RPA7" s="111">
        <v>2.5</v>
      </c>
      <c r="RPB7" s="111">
        <v>3.9</v>
      </c>
      <c r="RPF7" s="93">
        <v>3.1</v>
      </c>
      <c r="RPG7" s="93">
        <v>3.4</v>
      </c>
      <c r="RQB7" s="110" t="s">
        <v>140</v>
      </c>
      <c r="RQC7" s="111">
        <v>3.4</v>
      </c>
      <c r="RQD7" s="111">
        <v>2.8</v>
      </c>
      <c r="RQE7" s="111">
        <v>2.1</v>
      </c>
      <c r="RQF7" s="111">
        <v>1.9</v>
      </c>
      <c r="RQG7" s="111">
        <v>2.5</v>
      </c>
      <c r="RQH7" s="111">
        <v>3.9</v>
      </c>
      <c r="RQL7" s="93">
        <v>3.1</v>
      </c>
      <c r="RQM7" s="93">
        <v>3.4</v>
      </c>
      <c r="RRH7" s="110" t="s">
        <v>140</v>
      </c>
      <c r="RRI7" s="111">
        <v>3.4</v>
      </c>
      <c r="RRJ7" s="111">
        <v>2.8</v>
      </c>
      <c r="RRK7" s="111">
        <v>2.1</v>
      </c>
      <c r="RRL7" s="111">
        <v>1.9</v>
      </c>
      <c r="RRM7" s="111">
        <v>2.5</v>
      </c>
      <c r="RRN7" s="111">
        <v>3.9</v>
      </c>
      <c r="RRR7" s="93">
        <v>3.1</v>
      </c>
      <c r="RRS7" s="93">
        <v>3.4</v>
      </c>
      <c r="RSN7" s="110" t="s">
        <v>140</v>
      </c>
      <c r="RSO7" s="111">
        <v>3.4</v>
      </c>
      <c r="RSP7" s="111">
        <v>2.8</v>
      </c>
      <c r="RSQ7" s="111">
        <v>2.1</v>
      </c>
      <c r="RSR7" s="111">
        <v>1.9</v>
      </c>
      <c r="RSS7" s="111">
        <v>2.5</v>
      </c>
      <c r="RST7" s="111">
        <v>3.9</v>
      </c>
      <c r="RSX7" s="93">
        <v>3.1</v>
      </c>
      <c r="RSY7" s="93">
        <v>3.4</v>
      </c>
      <c r="RTT7" s="110" t="s">
        <v>140</v>
      </c>
      <c r="RTU7" s="111">
        <v>3.4</v>
      </c>
      <c r="RTV7" s="111">
        <v>2.8</v>
      </c>
      <c r="RTW7" s="111">
        <v>2.1</v>
      </c>
      <c r="RTX7" s="111">
        <v>1.9</v>
      </c>
      <c r="RTY7" s="111">
        <v>2.5</v>
      </c>
      <c r="RTZ7" s="111">
        <v>3.9</v>
      </c>
      <c r="RUD7" s="93">
        <v>3.1</v>
      </c>
      <c r="RUE7" s="93">
        <v>3.4</v>
      </c>
      <c r="RUZ7" s="110" t="s">
        <v>140</v>
      </c>
      <c r="RVA7" s="111">
        <v>3.4</v>
      </c>
      <c r="RVB7" s="111">
        <v>2.8</v>
      </c>
      <c r="RVC7" s="111">
        <v>2.1</v>
      </c>
      <c r="RVD7" s="111">
        <v>1.9</v>
      </c>
      <c r="RVE7" s="111">
        <v>2.5</v>
      </c>
      <c r="RVF7" s="111">
        <v>3.9</v>
      </c>
      <c r="RVJ7" s="93">
        <v>3.1</v>
      </c>
      <c r="RVK7" s="93">
        <v>3.4</v>
      </c>
      <c r="RWF7" s="110" t="s">
        <v>140</v>
      </c>
      <c r="RWG7" s="111">
        <v>3.4</v>
      </c>
      <c r="RWH7" s="111">
        <v>2.8</v>
      </c>
      <c r="RWI7" s="111">
        <v>2.1</v>
      </c>
      <c r="RWJ7" s="111">
        <v>1.9</v>
      </c>
      <c r="RWK7" s="111">
        <v>2.5</v>
      </c>
      <c r="RWL7" s="111">
        <v>3.9</v>
      </c>
      <c r="RWP7" s="93">
        <v>3.1</v>
      </c>
      <c r="RWQ7" s="93">
        <v>3.4</v>
      </c>
      <c r="RXL7" s="110" t="s">
        <v>140</v>
      </c>
      <c r="RXM7" s="111">
        <v>3.4</v>
      </c>
      <c r="RXN7" s="111">
        <v>2.8</v>
      </c>
      <c r="RXO7" s="111">
        <v>2.1</v>
      </c>
      <c r="RXP7" s="111">
        <v>1.9</v>
      </c>
      <c r="RXQ7" s="111">
        <v>2.5</v>
      </c>
      <c r="RXR7" s="111">
        <v>3.9</v>
      </c>
      <c r="RXV7" s="93">
        <v>3.1</v>
      </c>
      <c r="RXW7" s="93">
        <v>3.4</v>
      </c>
      <c r="RYR7" s="110" t="s">
        <v>140</v>
      </c>
      <c r="RYS7" s="111">
        <v>3.4</v>
      </c>
      <c r="RYT7" s="111">
        <v>2.8</v>
      </c>
      <c r="RYU7" s="111">
        <v>2.1</v>
      </c>
      <c r="RYV7" s="111">
        <v>1.9</v>
      </c>
      <c r="RYW7" s="111">
        <v>2.5</v>
      </c>
      <c r="RYX7" s="111">
        <v>3.9</v>
      </c>
      <c r="RZB7" s="93">
        <v>3.1</v>
      </c>
      <c r="RZC7" s="93">
        <v>3.4</v>
      </c>
      <c r="RZX7" s="110" t="s">
        <v>140</v>
      </c>
      <c r="RZY7" s="111">
        <v>3.4</v>
      </c>
      <c r="RZZ7" s="111">
        <v>2.8</v>
      </c>
      <c r="SAA7" s="111">
        <v>2.1</v>
      </c>
      <c r="SAB7" s="111">
        <v>1.9</v>
      </c>
      <c r="SAC7" s="111">
        <v>2.5</v>
      </c>
      <c r="SAD7" s="111">
        <v>3.9</v>
      </c>
      <c r="SAH7" s="93">
        <v>3.1</v>
      </c>
      <c r="SAI7" s="93">
        <v>3.4</v>
      </c>
      <c r="SBD7" s="110" t="s">
        <v>140</v>
      </c>
      <c r="SBE7" s="111">
        <v>3.4</v>
      </c>
      <c r="SBF7" s="111">
        <v>2.8</v>
      </c>
      <c r="SBG7" s="111">
        <v>2.1</v>
      </c>
      <c r="SBH7" s="111">
        <v>1.9</v>
      </c>
      <c r="SBI7" s="111">
        <v>2.5</v>
      </c>
      <c r="SBJ7" s="111">
        <v>3.9</v>
      </c>
      <c r="SBN7" s="93">
        <v>3.1</v>
      </c>
      <c r="SBO7" s="93">
        <v>3.4</v>
      </c>
      <c r="SCJ7" s="110" t="s">
        <v>140</v>
      </c>
      <c r="SCK7" s="111">
        <v>3.4</v>
      </c>
      <c r="SCL7" s="111">
        <v>2.8</v>
      </c>
      <c r="SCM7" s="111">
        <v>2.1</v>
      </c>
      <c r="SCN7" s="111">
        <v>1.9</v>
      </c>
      <c r="SCO7" s="111">
        <v>2.5</v>
      </c>
      <c r="SCP7" s="111">
        <v>3.9</v>
      </c>
      <c r="SCT7" s="93">
        <v>3.1</v>
      </c>
      <c r="SCU7" s="93">
        <v>3.4</v>
      </c>
      <c r="SDP7" s="110" t="s">
        <v>140</v>
      </c>
      <c r="SDQ7" s="111">
        <v>3.4</v>
      </c>
      <c r="SDR7" s="111">
        <v>2.8</v>
      </c>
      <c r="SDS7" s="111">
        <v>2.1</v>
      </c>
      <c r="SDT7" s="111">
        <v>1.9</v>
      </c>
      <c r="SDU7" s="111">
        <v>2.5</v>
      </c>
      <c r="SDV7" s="111">
        <v>3.9</v>
      </c>
      <c r="SDZ7" s="93">
        <v>3.1</v>
      </c>
      <c r="SEA7" s="93">
        <v>3.4</v>
      </c>
      <c r="SEV7" s="110" t="s">
        <v>140</v>
      </c>
      <c r="SEW7" s="111">
        <v>3.4</v>
      </c>
      <c r="SEX7" s="111">
        <v>2.8</v>
      </c>
      <c r="SEY7" s="111">
        <v>2.1</v>
      </c>
      <c r="SEZ7" s="111">
        <v>1.9</v>
      </c>
      <c r="SFA7" s="111">
        <v>2.5</v>
      </c>
      <c r="SFB7" s="111">
        <v>3.9</v>
      </c>
      <c r="SFF7" s="93">
        <v>3.1</v>
      </c>
      <c r="SFG7" s="93">
        <v>3.4</v>
      </c>
      <c r="SGB7" s="110" t="s">
        <v>140</v>
      </c>
      <c r="SGC7" s="111">
        <v>3.4</v>
      </c>
      <c r="SGD7" s="111">
        <v>2.8</v>
      </c>
      <c r="SGE7" s="111">
        <v>2.1</v>
      </c>
      <c r="SGF7" s="111">
        <v>1.9</v>
      </c>
      <c r="SGG7" s="111">
        <v>2.5</v>
      </c>
      <c r="SGH7" s="111">
        <v>3.9</v>
      </c>
      <c r="SGL7" s="93">
        <v>3.1</v>
      </c>
      <c r="SGM7" s="93">
        <v>3.4</v>
      </c>
      <c r="SHH7" s="110" t="s">
        <v>140</v>
      </c>
      <c r="SHI7" s="111">
        <v>3.4</v>
      </c>
      <c r="SHJ7" s="111">
        <v>2.8</v>
      </c>
      <c r="SHK7" s="111">
        <v>2.1</v>
      </c>
      <c r="SHL7" s="111">
        <v>1.9</v>
      </c>
      <c r="SHM7" s="111">
        <v>2.5</v>
      </c>
      <c r="SHN7" s="111">
        <v>3.9</v>
      </c>
      <c r="SHR7" s="93">
        <v>3.1</v>
      </c>
      <c r="SHS7" s="93">
        <v>3.4</v>
      </c>
      <c r="SIN7" s="110" t="s">
        <v>140</v>
      </c>
      <c r="SIO7" s="111">
        <v>3.4</v>
      </c>
      <c r="SIP7" s="111">
        <v>2.8</v>
      </c>
      <c r="SIQ7" s="111">
        <v>2.1</v>
      </c>
      <c r="SIR7" s="111">
        <v>1.9</v>
      </c>
      <c r="SIS7" s="111">
        <v>2.5</v>
      </c>
      <c r="SIT7" s="111">
        <v>3.9</v>
      </c>
      <c r="SIX7" s="93">
        <v>3.1</v>
      </c>
      <c r="SIY7" s="93">
        <v>3.4</v>
      </c>
      <c r="SJT7" s="110" t="s">
        <v>140</v>
      </c>
      <c r="SJU7" s="111">
        <v>3.4</v>
      </c>
      <c r="SJV7" s="111">
        <v>2.8</v>
      </c>
      <c r="SJW7" s="111">
        <v>2.1</v>
      </c>
      <c r="SJX7" s="111">
        <v>1.9</v>
      </c>
      <c r="SJY7" s="111">
        <v>2.5</v>
      </c>
      <c r="SJZ7" s="111">
        <v>3.9</v>
      </c>
      <c r="SKD7" s="93">
        <v>3.1</v>
      </c>
      <c r="SKE7" s="93">
        <v>3.4</v>
      </c>
      <c r="SKZ7" s="110" t="s">
        <v>140</v>
      </c>
      <c r="SLA7" s="111">
        <v>3.4</v>
      </c>
      <c r="SLB7" s="111">
        <v>2.8</v>
      </c>
      <c r="SLC7" s="111">
        <v>2.1</v>
      </c>
      <c r="SLD7" s="111">
        <v>1.9</v>
      </c>
      <c r="SLE7" s="111">
        <v>2.5</v>
      </c>
      <c r="SLF7" s="111">
        <v>3.9</v>
      </c>
      <c r="SLJ7" s="93">
        <v>3.1</v>
      </c>
      <c r="SLK7" s="93">
        <v>3.4</v>
      </c>
      <c r="SMF7" s="110" t="s">
        <v>140</v>
      </c>
      <c r="SMG7" s="111">
        <v>3.4</v>
      </c>
      <c r="SMH7" s="111">
        <v>2.8</v>
      </c>
      <c r="SMI7" s="111">
        <v>2.1</v>
      </c>
      <c r="SMJ7" s="111">
        <v>1.9</v>
      </c>
      <c r="SMK7" s="111">
        <v>2.5</v>
      </c>
      <c r="SML7" s="111">
        <v>3.9</v>
      </c>
      <c r="SMP7" s="93">
        <v>3.1</v>
      </c>
      <c r="SMQ7" s="93">
        <v>3.4</v>
      </c>
      <c r="SNL7" s="110" t="s">
        <v>140</v>
      </c>
      <c r="SNM7" s="111">
        <v>3.4</v>
      </c>
      <c r="SNN7" s="111">
        <v>2.8</v>
      </c>
      <c r="SNO7" s="111">
        <v>2.1</v>
      </c>
      <c r="SNP7" s="111">
        <v>1.9</v>
      </c>
      <c r="SNQ7" s="111">
        <v>2.5</v>
      </c>
      <c r="SNR7" s="111">
        <v>3.9</v>
      </c>
      <c r="SNV7" s="93">
        <v>3.1</v>
      </c>
      <c r="SNW7" s="93">
        <v>3.4</v>
      </c>
      <c r="SOR7" s="110" t="s">
        <v>140</v>
      </c>
      <c r="SOS7" s="111">
        <v>3.4</v>
      </c>
      <c r="SOT7" s="111">
        <v>2.8</v>
      </c>
      <c r="SOU7" s="111">
        <v>2.1</v>
      </c>
      <c r="SOV7" s="111">
        <v>1.9</v>
      </c>
      <c r="SOW7" s="111">
        <v>2.5</v>
      </c>
      <c r="SOX7" s="111">
        <v>3.9</v>
      </c>
      <c r="SPB7" s="93">
        <v>3.1</v>
      </c>
      <c r="SPC7" s="93">
        <v>3.4</v>
      </c>
      <c r="SPX7" s="110" t="s">
        <v>140</v>
      </c>
      <c r="SPY7" s="111">
        <v>3.4</v>
      </c>
      <c r="SPZ7" s="111">
        <v>2.8</v>
      </c>
      <c r="SQA7" s="111">
        <v>2.1</v>
      </c>
      <c r="SQB7" s="111">
        <v>1.9</v>
      </c>
      <c r="SQC7" s="111">
        <v>2.5</v>
      </c>
      <c r="SQD7" s="111">
        <v>3.9</v>
      </c>
      <c r="SQH7" s="93">
        <v>3.1</v>
      </c>
      <c r="SQI7" s="93">
        <v>3.4</v>
      </c>
      <c r="SRD7" s="110" t="s">
        <v>140</v>
      </c>
      <c r="SRE7" s="111">
        <v>3.4</v>
      </c>
      <c r="SRF7" s="111">
        <v>2.8</v>
      </c>
      <c r="SRG7" s="111">
        <v>2.1</v>
      </c>
      <c r="SRH7" s="111">
        <v>1.9</v>
      </c>
      <c r="SRI7" s="111">
        <v>2.5</v>
      </c>
      <c r="SRJ7" s="111">
        <v>3.9</v>
      </c>
      <c r="SRN7" s="93">
        <v>3.1</v>
      </c>
      <c r="SRO7" s="93">
        <v>3.4</v>
      </c>
      <c r="SSJ7" s="110" t="s">
        <v>140</v>
      </c>
      <c r="SSK7" s="111">
        <v>3.4</v>
      </c>
      <c r="SSL7" s="111">
        <v>2.8</v>
      </c>
      <c r="SSM7" s="111">
        <v>2.1</v>
      </c>
      <c r="SSN7" s="111">
        <v>1.9</v>
      </c>
      <c r="SSO7" s="111">
        <v>2.5</v>
      </c>
      <c r="SSP7" s="111">
        <v>3.9</v>
      </c>
      <c r="SST7" s="93">
        <v>3.1</v>
      </c>
      <c r="SSU7" s="93">
        <v>3.4</v>
      </c>
      <c r="STP7" s="110" t="s">
        <v>140</v>
      </c>
      <c r="STQ7" s="111">
        <v>3.4</v>
      </c>
      <c r="STR7" s="111">
        <v>2.8</v>
      </c>
      <c r="STS7" s="111">
        <v>2.1</v>
      </c>
      <c r="STT7" s="111">
        <v>1.9</v>
      </c>
      <c r="STU7" s="111">
        <v>2.5</v>
      </c>
      <c r="STV7" s="111">
        <v>3.9</v>
      </c>
      <c r="STZ7" s="93">
        <v>3.1</v>
      </c>
      <c r="SUA7" s="93">
        <v>3.4</v>
      </c>
      <c r="SUV7" s="110" t="s">
        <v>140</v>
      </c>
      <c r="SUW7" s="111">
        <v>3.4</v>
      </c>
      <c r="SUX7" s="111">
        <v>2.8</v>
      </c>
      <c r="SUY7" s="111">
        <v>2.1</v>
      </c>
      <c r="SUZ7" s="111">
        <v>1.9</v>
      </c>
      <c r="SVA7" s="111">
        <v>2.5</v>
      </c>
      <c r="SVB7" s="111">
        <v>3.9</v>
      </c>
      <c r="SVF7" s="93">
        <v>3.1</v>
      </c>
      <c r="SVG7" s="93">
        <v>3.4</v>
      </c>
      <c r="SWB7" s="110" t="s">
        <v>140</v>
      </c>
      <c r="SWC7" s="111">
        <v>3.4</v>
      </c>
      <c r="SWD7" s="111">
        <v>2.8</v>
      </c>
      <c r="SWE7" s="111">
        <v>2.1</v>
      </c>
      <c r="SWF7" s="111">
        <v>1.9</v>
      </c>
      <c r="SWG7" s="111">
        <v>2.5</v>
      </c>
      <c r="SWH7" s="111">
        <v>3.9</v>
      </c>
      <c r="SWL7" s="93">
        <v>3.1</v>
      </c>
      <c r="SWM7" s="93">
        <v>3.4</v>
      </c>
      <c r="SXH7" s="110" t="s">
        <v>140</v>
      </c>
      <c r="SXI7" s="111">
        <v>3.4</v>
      </c>
      <c r="SXJ7" s="111">
        <v>2.8</v>
      </c>
      <c r="SXK7" s="111">
        <v>2.1</v>
      </c>
      <c r="SXL7" s="111">
        <v>1.9</v>
      </c>
      <c r="SXM7" s="111">
        <v>2.5</v>
      </c>
      <c r="SXN7" s="111">
        <v>3.9</v>
      </c>
      <c r="SXR7" s="93">
        <v>3.1</v>
      </c>
      <c r="SXS7" s="93">
        <v>3.4</v>
      </c>
      <c r="SYN7" s="110" t="s">
        <v>140</v>
      </c>
      <c r="SYO7" s="111">
        <v>3.4</v>
      </c>
      <c r="SYP7" s="111">
        <v>2.8</v>
      </c>
      <c r="SYQ7" s="111">
        <v>2.1</v>
      </c>
      <c r="SYR7" s="111">
        <v>1.9</v>
      </c>
      <c r="SYS7" s="111">
        <v>2.5</v>
      </c>
      <c r="SYT7" s="111">
        <v>3.9</v>
      </c>
      <c r="SYX7" s="93">
        <v>3.1</v>
      </c>
      <c r="SYY7" s="93">
        <v>3.4</v>
      </c>
      <c r="SZT7" s="110" t="s">
        <v>140</v>
      </c>
      <c r="SZU7" s="111">
        <v>3.4</v>
      </c>
      <c r="SZV7" s="111">
        <v>2.8</v>
      </c>
      <c r="SZW7" s="111">
        <v>2.1</v>
      </c>
      <c r="SZX7" s="111">
        <v>1.9</v>
      </c>
      <c r="SZY7" s="111">
        <v>2.5</v>
      </c>
      <c r="SZZ7" s="111">
        <v>3.9</v>
      </c>
      <c r="TAD7" s="93">
        <v>3.1</v>
      </c>
      <c r="TAE7" s="93">
        <v>3.4</v>
      </c>
      <c r="TAZ7" s="110" t="s">
        <v>140</v>
      </c>
      <c r="TBA7" s="111">
        <v>3.4</v>
      </c>
      <c r="TBB7" s="111">
        <v>2.8</v>
      </c>
      <c r="TBC7" s="111">
        <v>2.1</v>
      </c>
      <c r="TBD7" s="111">
        <v>1.9</v>
      </c>
      <c r="TBE7" s="111">
        <v>2.5</v>
      </c>
      <c r="TBF7" s="111">
        <v>3.9</v>
      </c>
      <c r="TBJ7" s="93">
        <v>3.1</v>
      </c>
      <c r="TBK7" s="93">
        <v>3.4</v>
      </c>
      <c r="TCF7" s="110" t="s">
        <v>140</v>
      </c>
      <c r="TCG7" s="111">
        <v>3.4</v>
      </c>
      <c r="TCH7" s="111">
        <v>2.8</v>
      </c>
      <c r="TCI7" s="111">
        <v>2.1</v>
      </c>
      <c r="TCJ7" s="111">
        <v>1.9</v>
      </c>
      <c r="TCK7" s="111">
        <v>2.5</v>
      </c>
      <c r="TCL7" s="111">
        <v>3.9</v>
      </c>
      <c r="TCP7" s="93">
        <v>3.1</v>
      </c>
      <c r="TCQ7" s="93">
        <v>3.4</v>
      </c>
      <c r="TDL7" s="110" t="s">
        <v>140</v>
      </c>
      <c r="TDM7" s="111">
        <v>3.4</v>
      </c>
      <c r="TDN7" s="111">
        <v>2.8</v>
      </c>
      <c r="TDO7" s="111">
        <v>2.1</v>
      </c>
      <c r="TDP7" s="111">
        <v>1.9</v>
      </c>
      <c r="TDQ7" s="111">
        <v>2.5</v>
      </c>
      <c r="TDR7" s="111">
        <v>3.9</v>
      </c>
      <c r="TDV7" s="93">
        <v>3.1</v>
      </c>
      <c r="TDW7" s="93">
        <v>3.4</v>
      </c>
      <c r="TER7" s="110" t="s">
        <v>140</v>
      </c>
      <c r="TES7" s="111">
        <v>3.4</v>
      </c>
      <c r="TET7" s="111">
        <v>2.8</v>
      </c>
      <c r="TEU7" s="111">
        <v>2.1</v>
      </c>
      <c r="TEV7" s="111">
        <v>1.9</v>
      </c>
      <c r="TEW7" s="111">
        <v>2.5</v>
      </c>
      <c r="TEX7" s="111">
        <v>3.9</v>
      </c>
      <c r="TFB7" s="93">
        <v>3.1</v>
      </c>
      <c r="TFC7" s="93">
        <v>3.4</v>
      </c>
      <c r="TFX7" s="110" t="s">
        <v>140</v>
      </c>
      <c r="TFY7" s="111">
        <v>3.4</v>
      </c>
      <c r="TFZ7" s="111">
        <v>2.8</v>
      </c>
      <c r="TGA7" s="111">
        <v>2.1</v>
      </c>
      <c r="TGB7" s="111">
        <v>1.9</v>
      </c>
      <c r="TGC7" s="111">
        <v>2.5</v>
      </c>
      <c r="TGD7" s="111">
        <v>3.9</v>
      </c>
      <c r="TGH7" s="93">
        <v>3.1</v>
      </c>
      <c r="TGI7" s="93">
        <v>3.4</v>
      </c>
      <c r="THD7" s="110" t="s">
        <v>140</v>
      </c>
      <c r="THE7" s="111">
        <v>3.4</v>
      </c>
      <c r="THF7" s="111">
        <v>2.8</v>
      </c>
      <c r="THG7" s="111">
        <v>2.1</v>
      </c>
      <c r="THH7" s="111">
        <v>1.9</v>
      </c>
      <c r="THI7" s="111">
        <v>2.5</v>
      </c>
      <c r="THJ7" s="111">
        <v>3.9</v>
      </c>
      <c r="THN7" s="93">
        <v>3.1</v>
      </c>
      <c r="THO7" s="93">
        <v>3.4</v>
      </c>
      <c r="TIJ7" s="110" t="s">
        <v>140</v>
      </c>
      <c r="TIK7" s="111">
        <v>3.4</v>
      </c>
      <c r="TIL7" s="111">
        <v>2.8</v>
      </c>
      <c r="TIM7" s="111">
        <v>2.1</v>
      </c>
      <c r="TIN7" s="111">
        <v>1.9</v>
      </c>
      <c r="TIO7" s="111">
        <v>2.5</v>
      </c>
      <c r="TIP7" s="111">
        <v>3.9</v>
      </c>
      <c r="TIT7" s="93">
        <v>3.1</v>
      </c>
      <c r="TIU7" s="93">
        <v>3.4</v>
      </c>
      <c r="TJP7" s="110" t="s">
        <v>140</v>
      </c>
      <c r="TJQ7" s="111">
        <v>3.4</v>
      </c>
      <c r="TJR7" s="111">
        <v>2.8</v>
      </c>
      <c r="TJS7" s="111">
        <v>2.1</v>
      </c>
      <c r="TJT7" s="111">
        <v>1.9</v>
      </c>
      <c r="TJU7" s="111">
        <v>2.5</v>
      </c>
      <c r="TJV7" s="111">
        <v>3.9</v>
      </c>
      <c r="TJZ7" s="93">
        <v>3.1</v>
      </c>
      <c r="TKA7" s="93">
        <v>3.4</v>
      </c>
      <c r="TKV7" s="110" t="s">
        <v>140</v>
      </c>
      <c r="TKW7" s="111">
        <v>3.4</v>
      </c>
      <c r="TKX7" s="111">
        <v>2.8</v>
      </c>
      <c r="TKY7" s="111">
        <v>2.1</v>
      </c>
      <c r="TKZ7" s="111">
        <v>1.9</v>
      </c>
      <c r="TLA7" s="111">
        <v>2.5</v>
      </c>
      <c r="TLB7" s="111">
        <v>3.9</v>
      </c>
      <c r="TLF7" s="93">
        <v>3.1</v>
      </c>
      <c r="TLG7" s="93">
        <v>3.4</v>
      </c>
      <c r="TMB7" s="110" t="s">
        <v>140</v>
      </c>
      <c r="TMC7" s="111">
        <v>3.4</v>
      </c>
      <c r="TMD7" s="111">
        <v>2.8</v>
      </c>
      <c r="TME7" s="111">
        <v>2.1</v>
      </c>
      <c r="TMF7" s="111">
        <v>1.9</v>
      </c>
      <c r="TMG7" s="111">
        <v>2.5</v>
      </c>
      <c r="TMH7" s="111">
        <v>3.9</v>
      </c>
      <c r="TML7" s="93">
        <v>3.1</v>
      </c>
      <c r="TMM7" s="93">
        <v>3.4</v>
      </c>
      <c r="TNH7" s="110" t="s">
        <v>140</v>
      </c>
      <c r="TNI7" s="111">
        <v>3.4</v>
      </c>
      <c r="TNJ7" s="111">
        <v>2.8</v>
      </c>
      <c r="TNK7" s="111">
        <v>2.1</v>
      </c>
      <c r="TNL7" s="111">
        <v>1.9</v>
      </c>
      <c r="TNM7" s="111">
        <v>2.5</v>
      </c>
      <c r="TNN7" s="111">
        <v>3.9</v>
      </c>
      <c r="TNR7" s="93">
        <v>3.1</v>
      </c>
      <c r="TNS7" s="93">
        <v>3.4</v>
      </c>
      <c r="TON7" s="110" t="s">
        <v>140</v>
      </c>
      <c r="TOO7" s="111">
        <v>3.4</v>
      </c>
      <c r="TOP7" s="111">
        <v>2.8</v>
      </c>
      <c r="TOQ7" s="111">
        <v>2.1</v>
      </c>
      <c r="TOR7" s="111">
        <v>1.9</v>
      </c>
      <c r="TOS7" s="111">
        <v>2.5</v>
      </c>
      <c r="TOT7" s="111">
        <v>3.9</v>
      </c>
      <c r="TOX7" s="93">
        <v>3.1</v>
      </c>
      <c r="TOY7" s="93">
        <v>3.4</v>
      </c>
      <c r="TPT7" s="110" t="s">
        <v>140</v>
      </c>
      <c r="TPU7" s="111">
        <v>3.4</v>
      </c>
      <c r="TPV7" s="111">
        <v>2.8</v>
      </c>
      <c r="TPW7" s="111">
        <v>2.1</v>
      </c>
      <c r="TPX7" s="111">
        <v>1.9</v>
      </c>
      <c r="TPY7" s="111">
        <v>2.5</v>
      </c>
      <c r="TPZ7" s="111">
        <v>3.9</v>
      </c>
      <c r="TQD7" s="93">
        <v>3.1</v>
      </c>
      <c r="TQE7" s="93">
        <v>3.4</v>
      </c>
      <c r="TQZ7" s="110" t="s">
        <v>140</v>
      </c>
      <c r="TRA7" s="111">
        <v>3.4</v>
      </c>
      <c r="TRB7" s="111">
        <v>2.8</v>
      </c>
      <c r="TRC7" s="111">
        <v>2.1</v>
      </c>
      <c r="TRD7" s="111">
        <v>1.9</v>
      </c>
      <c r="TRE7" s="111">
        <v>2.5</v>
      </c>
      <c r="TRF7" s="111">
        <v>3.9</v>
      </c>
      <c r="TRJ7" s="93">
        <v>3.1</v>
      </c>
      <c r="TRK7" s="93">
        <v>3.4</v>
      </c>
      <c r="TSF7" s="110" t="s">
        <v>140</v>
      </c>
      <c r="TSG7" s="111">
        <v>3.4</v>
      </c>
      <c r="TSH7" s="111">
        <v>2.8</v>
      </c>
      <c r="TSI7" s="111">
        <v>2.1</v>
      </c>
      <c r="TSJ7" s="111">
        <v>1.9</v>
      </c>
      <c r="TSK7" s="111">
        <v>2.5</v>
      </c>
      <c r="TSL7" s="111">
        <v>3.9</v>
      </c>
      <c r="TSP7" s="93">
        <v>3.1</v>
      </c>
      <c r="TSQ7" s="93">
        <v>3.4</v>
      </c>
      <c r="TTL7" s="110" t="s">
        <v>140</v>
      </c>
      <c r="TTM7" s="111">
        <v>3.4</v>
      </c>
      <c r="TTN7" s="111">
        <v>2.8</v>
      </c>
      <c r="TTO7" s="111">
        <v>2.1</v>
      </c>
      <c r="TTP7" s="111">
        <v>1.9</v>
      </c>
      <c r="TTQ7" s="111">
        <v>2.5</v>
      </c>
      <c r="TTR7" s="111">
        <v>3.9</v>
      </c>
      <c r="TTV7" s="93">
        <v>3.1</v>
      </c>
      <c r="TTW7" s="93">
        <v>3.4</v>
      </c>
      <c r="TUR7" s="110" t="s">
        <v>140</v>
      </c>
      <c r="TUS7" s="111">
        <v>3.4</v>
      </c>
      <c r="TUT7" s="111">
        <v>2.8</v>
      </c>
      <c r="TUU7" s="111">
        <v>2.1</v>
      </c>
      <c r="TUV7" s="111">
        <v>1.9</v>
      </c>
      <c r="TUW7" s="111">
        <v>2.5</v>
      </c>
      <c r="TUX7" s="111">
        <v>3.9</v>
      </c>
      <c r="TVB7" s="93">
        <v>3.1</v>
      </c>
      <c r="TVC7" s="93">
        <v>3.4</v>
      </c>
      <c r="TVX7" s="110" t="s">
        <v>140</v>
      </c>
      <c r="TVY7" s="111">
        <v>3.4</v>
      </c>
      <c r="TVZ7" s="111">
        <v>2.8</v>
      </c>
      <c r="TWA7" s="111">
        <v>2.1</v>
      </c>
      <c r="TWB7" s="111">
        <v>1.9</v>
      </c>
      <c r="TWC7" s="111">
        <v>2.5</v>
      </c>
      <c r="TWD7" s="111">
        <v>3.9</v>
      </c>
      <c r="TWH7" s="93">
        <v>3.1</v>
      </c>
      <c r="TWI7" s="93">
        <v>3.4</v>
      </c>
      <c r="TXD7" s="110" t="s">
        <v>140</v>
      </c>
      <c r="TXE7" s="111">
        <v>3.4</v>
      </c>
      <c r="TXF7" s="111">
        <v>2.8</v>
      </c>
      <c r="TXG7" s="111">
        <v>2.1</v>
      </c>
      <c r="TXH7" s="111">
        <v>1.9</v>
      </c>
      <c r="TXI7" s="111">
        <v>2.5</v>
      </c>
      <c r="TXJ7" s="111">
        <v>3.9</v>
      </c>
      <c r="TXN7" s="93">
        <v>3.1</v>
      </c>
      <c r="TXO7" s="93">
        <v>3.4</v>
      </c>
      <c r="TYJ7" s="110" t="s">
        <v>140</v>
      </c>
      <c r="TYK7" s="111">
        <v>3.4</v>
      </c>
      <c r="TYL7" s="111">
        <v>2.8</v>
      </c>
      <c r="TYM7" s="111">
        <v>2.1</v>
      </c>
      <c r="TYN7" s="111">
        <v>1.9</v>
      </c>
      <c r="TYO7" s="111">
        <v>2.5</v>
      </c>
      <c r="TYP7" s="111">
        <v>3.9</v>
      </c>
      <c r="TYT7" s="93">
        <v>3.1</v>
      </c>
      <c r="TYU7" s="93">
        <v>3.4</v>
      </c>
      <c r="TZP7" s="110" t="s">
        <v>140</v>
      </c>
      <c r="TZQ7" s="111">
        <v>3.4</v>
      </c>
      <c r="TZR7" s="111">
        <v>2.8</v>
      </c>
      <c r="TZS7" s="111">
        <v>2.1</v>
      </c>
      <c r="TZT7" s="111">
        <v>1.9</v>
      </c>
      <c r="TZU7" s="111">
        <v>2.5</v>
      </c>
      <c r="TZV7" s="111">
        <v>3.9</v>
      </c>
      <c r="TZZ7" s="93">
        <v>3.1</v>
      </c>
      <c r="UAA7" s="93">
        <v>3.4</v>
      </c>
      <c r="UAV7" s="110" t="s">
        <v>140</v>
      </c>
      <c r="UAW7" s="111">
        <v>3.4</v>
      </c>
      <c r="UAX7" s="111">
        <v>2.8</v>
      </c>
      <c r="UAY7" s="111">
        <v>2.1</v>
      </c>
      <c r="UAZ7" s="111">
        <v>1.9</v>
      </c>
      <c r="UBA7" s="111">
        <v>2.5</v>
      </c>
      <c r="UBB7" s="111">
        <v>3.9</v>
      </c>
      <c r="UBF7" s="93">
        <v>3.1</v>
      </c>
      <c r="UBG7" s="93">
        <v>3.4</v>
      </c>
      <c r="UCB7" s="110" t="s">
        <v>140</v>
      </c>
      <c r="UCC7" s="111">
        <v>3.4</v>
      </c>
      <c r="UCD7" s="111">
        <v>2.8</v>
      </c>
      <c r="UCE7" s="111">
        <v>2.1</v>
      </c>
      <c r="UCF7" s="111">
        <v>1.9</v>
      </c>
      <c r="UCG7" s="111">
        <v>2.5</v>
      </c>
      <c r="UCH7" s="111">
        <v>3.9</v>
      </c>
      <c r="UCL7" s="93">
        <v>3.1</v>
      </c>
      <c r="UCM7" s="93">
        <v>3.4</v>
      </c>
      <c r="UDH7" s="110" t="s">
        <v>140</v>
      </c>
      <c r="UDI7" s="111">
        <v>3.4</v>
      </c>
      <c r="UDJ7" s="111">
        <v>2.8</v>
      </c>
      <c r="UDK7" s="111">
        <v>2.1</v>
      </c>
      <c r="UDL7" s="111">
        <v>1.9</v>
      </c>
      <c r="UDM7" s="111">
        <v>2.5</v>
      </c>
      <c r="UDN7" s="111">
        <v>3.9</v>
      </c>
      <c r="UDR7" s="93">
        <v>3.1</v>
      </c>
      <c r="UDS7" s="93">
        <v>3.4</v>
      </c>
      <c r="UEN7" s="110" t="s">
        <v>140</v>
      </c>
      <c r="UEO7" s="111">
        <v>3.4</v>
      </c>
      <c r="UEP7" s="111">
        <v>2.8</v>
      </c>
      <c r="UEQ7" s="111">
        <v>2.1</v>
      </c>
      <c r="UER7" s="111">
        <v>1.9</v>
      </c>
      <c r="UES7" s="111">
        <v>2.5</v>
      </c>
      <c r="UET7" s="111">
        <v>3.9</v>
      </c>
      <c r="UEX7" s="93">
        <v>3.1</v>
      </c>
      <c r="UEY7" s="93">
        <v>3.4</v>
      </c>
      <c r="UFT7" s="110" t="s">
        <v>140</v>
      </c>
      <c r="UFU7" s="111">
        <v>3.4</v>
      </c>
      <c r="UFV7" s="111">
        <v>2.8</v>
      </c>
      <c r="UFW7" s="111">
        <v>2.1</v>
      </c>
      <c r="UFX7" s="111">
        <v>1.9</v>
      </c>
      <c r="UFY7" s="111">
        <v>2.5</v>
      </c>
      <c r="UFZ7" s="111">
        <v>3.9</v>
      </c>
      <c r="UGD7" s="93">
        <v>3.1</v>
      </c>
      <c r="UGE7" s="93">
        <v>3.4</v>
      </c>
      <c r="UGZ7" s="110" t="s">
        <v>140</v>
      </c>
      <c r="UHA7" s="111">
        <v>3.4</v>
      </c>
      <c r="UHB7" s="111">
        <v>2.8</v>
      </c>
      <c r="UHC7" s="111">
        <v>2.1</v>
      </c>
      <c r="UHD7" s="111">
        <v>1.9</v>
      </c>
      <c r="UHE7" s="111">
        <v>2.5</v>
      </c>
      <c r="UHF7" s="111">
        <v>3.9</v>
      </c>
      <c r="UHJ7" s="93">
        <v>3.1</v>
      </c>
      <c r="UHK7" s="93">
        <v>3.4</v>
      </c>
      <c r="UIF7" s="110" t="s">
        <v>140</v>
      </c>
      <c r="UIG7" s="111">
        <v>3.4</v>
      </c>
      <c r="UIH7" s="111">
        <v>2.8</v>
      </c>
      <c r="UII7" s="111">
        <v>2.1</v>
      </c>
      <c r="UIJ7" s="111">
        <v>1.9</v>
      </c>
      <c r="UIK7" s="111">
        <v>2.5</v>
      </c>
      <c r="UIL7" s="111">
        <v>3.9</v>
      </c>
      <c r="UIP7" s="93">
        <v>3.1</v>
      </c>
      <c r="UIQ7" s="93">
        <v>3.4</v>
      </c>
      <c r="UJL7" s="110" t="s">
        <v>140</v>
      </c>
      <c r="UJM7" s="111">
        <v>3.4</v>
      </c>
      <c r="UJN7" s="111">
        <v>2.8</v>
      </c>
      <c r="UJO7" s="111">
        <v>2.1</v>
      </c>
      <c r="UJP7" s="111">
        <v>1.9</v>
      </c>
      <c r="UJQ7" s="111">
        <v>2.5</v>
      </c>
      <c r="UJR7" s="111">
        <v>3.9</v>
      </c>
      <c r="UJV7" s="93">
        <v>3.1</v>
      </c>
      <c r="UJW7" s="93">
        <v>3.4</v>
      </c>
      <c r="UKR7" s="110" t="s">
        <v>140</v>
      </c>
      <c r="UKS7" s="111">
        <v>3.4</v>
      </c>
      <c r="UKT7" s="111">
        <v>2.8</v>
      </c>
      <c r="UKU7" s="111">
        <v>2.1</v>
      </c>
      <c r="UKV7" s="111">
        <v>1.9</v>
      </c>
      <c r="UKW7" s="111">
        <v>2.5</v>
      </c>
      <c r="UKX7" s="111">
        <v>3.9</v>
      </c>
      <c r="ULB7" s="93">
        <v>3.1</v>
      </c>
      <c r="ULC7" s="93">
        <v>3.4</v>
      </c>
      <c r="ULX7" s="110" t="s">
        <v>140</v>
      </c>
      <c r="ULY7" s="111">
        <v>3.4</v>
      </c>
      <c r="ULZ7" s="111">
        <v>2.8</v>
      </c>
      <c r="UMA7" s="111">
        <v>2.1</v>
      </c>
      <c r="UMB7" s="111">
        <v>1.9</v>
      </c>
      <c r="UMC7" s="111">
        <v>2.5</v>
      </c>
      <c r="UMD7" s="111">
        <v>3.9</v>
      </c>
      <c r="UMH7" s="93">
        <v>3.1</v>
      </c>
      <c r="UMI7" s="93">
        <v>3.4</v>
      </c>
      <c r="UND7" s="110" t="s">
        <v>140</v>
      </c>
      <c r="UNE7" s="111">
        <v>3.4</v>
      </c>
      <c r="UNF7" s="111">
        <v>2.8</v>
      </c>
      <c r="UNG7" s="111">
        <v>2.1</v>
      </c>
      <c r="UNH7" s="111">
        <v>1.9</v>
      </c>
      <c r="UNI7" s="111">
        <v>2.5</v>
      </c>
      <c r="UNJ7" s="111">
        <v>3.9</v>
      </c>
      <c r="UNN7" s="93">
        <v>3.1</v>
      </c>
      <c r="UNO7" s="93">
        <v>3.4</v>
      </c>
      <c r="UOJ7" s="110" t="s">
        <v>140</v>
      </c>
      <c r="UOK7" s="111">
        <v>3.4</v>
      </c>
      <c r="UOL7" s="111">
        <v>2.8</v>
      </c>
      <c r="UOM7" s="111">
        <v>2.1</v>
      </c>
      <c r="UON7" s="111">
        <v>1.9</v>
      </c>
      <c r="UOO7" s="111">
        <v>2.5</v>
      </c>
      <c r="UOP7" s="111">
        <v>3.9</v>
      </c>
      <c r="UOT7" s="93">
        <v>3.1</v>
      </c>
      <c r="UOU7" s="93">
        <v>3.4</v>
      </c>
      <c r="UPP7" s="110" t="s">
        <v>140</v>
      </c>
      <c r="UPQ7" s="111">
        <v>3.4</v>
      </c>
      <c r="UPR7" s="111">
        <v>2.8</v>
      </c>
      <c r="UPS7" s="111">
        <v>2.1</v>
      </c>
      <c r="UPT7" s="111">
        <v>1.9</v>
      </c>
      <c r="UPU7" s="111">
        <v>2.5</v>
      </c>
      <c r="UPV7" s="111">
        <v>3.9</v>
      </c>
      <c r="UPZ7" s="93">
        <v>3.1</v>
      </c>
      <c r="UQA7" s="93">
        <v>3.4</v>
      </c>
      <c r="UQV7" s="110" t="s">
        <v>140</v>
      </c>
      <c r="UQW7" s="111">
        <v>3.4</v>
      </c>
      <c r="UQX7" s="111">
        <v>2.8</v>
      </c>
      <c r="UQY7" s="111">
        <v>2.1</v>
      </c>
      <c r="UQZ7" s="111">
        <v>1.9</v>
      </c>
      <c r="URA7" s="111">
        <v>2.5</v>
      </c>
      <c r="URB7" s="111">
        <v>3.9</v>
      </c>
      <c r="URF7" s="93">
        <v>3.1</v>
      </c>
      <c r="URG7" s="93">
        <v>3.4</v>
      </c>
      <c r="USB7" s="110" t="s">
        <v>140</v>
      </c>
      <c r="USC7" s="111">
        <v>3.4</v>
      </c>
      <c r="USD7" s="111">
        <v>2.8</v>
      </c>
      <c r="USE7" s="111">
        <v>2.1</v>
      </c>
      <c r="USF7" s="111">
        <v>1.9</v>
      </c>
      <c r="USG7" s="111">
        <v>2.5</v>
      </c>
      <c r="USH7" s="111">
        <v>3.9</v>
      </c>
      <c r="USL7" s="93">
        <v>3.1</v>
      </c>
      <c r="USM7" s="93">
        <v>3.4</v>
      </c>
      <c r="UTH7" s="110" t="s">
        <v>140</v>
      </c>
      <c r="UTI7" s="111">
        <v>3.4</v>
      </c>
      <c r="UTJ7" s="111">
        <v>2.8</v>
      </c>
      <c r="UTK7" s="111">
        <v>2.1</v>
      </c>
      <c r="UTL7" s="111">
        <v>1.9</v>
      </c>
      <c r="UTM7" s="111">
        <v>2.5</v>
      </c>
      <c r="UTN7" s="111">
        <v>3.9</v>
      </c>
      <c r="UTR7" s="93">
        <v>3.1</v>
      </c>
      <c r="UTS7" s="93">
        <v>3.4</v>
      </c>
      <c r="UUN7" s="110" t="s">
        <v>140</v>
      </c>
      <c r="UUO7" s="111">
        <v>3.4</v>
      </c>
      <c r="UUP7" s="111">
        <v>2.8</v>
      </c>
      <c r="UUQ7" s="111">
        <v>2.1</v>
      </c>
      <c r="UUR7" s="111">
        <v>1.9</v>
      </c>
      <c r="UUS7" s="111">
        <v>2.5</v>
      </c>
      <c r="UUT7" s="111">
        <v>3.9</v>
      </c>
      <c r="UUX7" s="93">
        <v>3.1</v>
      </c>
      <c r="UUY7" s="93">
        <v>3.4</v>
      </c>
      <c r="UVT7" s="110" t="s">
        <v>140</v>
      </c>
      <c r="UVU7" s="111">
        <v>3.4</v>
      </c>
      <c r="UVV7" s="111">
        <v>2.8</v>
      </c>
      <c r="UVW7" s="111">
        <v>2.1</v>
      </c>
      <c r="UVX7" s="111">
        <v>1.9</v>
      </c>
      <c r="UVY7" s="111">
        <v>2.5</v>
      </c>
      <c r="UVZ7" s="111">
        <v>3.9</v>
      </c>
      <c r="UWD7" s="93">
        <v>3.1</v>
      </c>
      <c r="UWE7" s="93">
        <v>3.4</v>
      </c>
      <c r="UWZ7" s="110" t="s">
        <v>140</v>
      </c>
      <c r="UXA7" s="111">
        <v>3.4</v>
      </c>
      <c r="UXB7" s="111">
        <v>2.8</v>
      </c>
      <c r="UXC7" s="111">
        <v>2.1</v>
      </c>
      <c r="UXD7" s="111">
        <v>1.9</v>
      </c>
      <c r="UXE7" s="111">
        <v>2.5</v>
      </c>
      <c r="UXF7" s="111">
        <v>3.9</v>
      </c>
      <c r="UXJ7" s="93">
        <v>3.1</v>
      </c>
      <c r="UXK7" s="93">
        <v>3.4</v>
      </c>
      <c r="UYF7" s="110" t="s">
        <v>140</v>
      </c>
      <c r="UYG7" s="111">
        <v>3.4</v>
      </c>
      <c r="UYH7" s="111">
        <v>2.8</v>
      </c>
      <c r="UYI7" s="111">
        <v>2.1</v>
      </c>
      <c r="UYJ7" s="111">
        <v>1.9</v>
      </c>
      <c r="UYK7" s="111">
        <v>2.5</v>
      </c>
      <c r="UYL7" s="111">
        <v>3.9</v>
      </c>
      <c r="UYP7" s="93">
        <v>3.1</v>
      </c>
      <c r="UYQ7" s="93">
        <v>3.4</v>
      </c>
      <c r="UZL7" s="110" t="s">
        <v>140</v>
      </c>
      <c r="UZM7" s="111">
        <v>3.4</v>
      </c>
      <c r="UZN7" s="111">
        <v>2.8</v>
      </c>
      <c r="UZO7" s="111">
        <v>2.1</v>
      </c>
      <c r="UZP7" s="111">
        <v>1.9</v>
      </c>
      <c r="UZQ7" s="111">
        <v>2.5</v>
      </c>
      <c r="UZR7" s="111">
        <v>3.9</v>
      </c>
      <c r="UZV7" s="93">
        <v>3.1</v>
      </c>
      <c r="UZW7" s="93">
        <v>3.4</v>
      </c>
      <c r="VAR7" s="110" t="s">
        <v>140</v>
      </c>
      <c r="VAS7" s="111">
        <v>3.4</v>
      </c>
      <c r="VAT7" s="111">
        <v>2.8</v>
      </c>
      <c r="VAU7" s="111">
        <v>2.1</v>
      </c>
      <c r="VAV7" s="111">
        <v>1.9</v>
      </c>
      <c r="VAW7" s="111">
        <v>2.5</v>
      </c>
      <c r="VAX7" s="111">
        <v>3.9</v>
      </c>
      <c r="VBB7" s="93">
        <v>3.1</v>
      </c>
      <c r="VBC7" s="93">
        <v>3.4</v>
      </c>
      <c r="VBX7" s="110" t="s">
        <v>140</v>
      </c>
      <c r="VBY7" s="111">
        <v>3.4</v>
      </c>
      <c r="VBZ7" s="111">
        <v>2.8</v>
      </c>
      <c r="VCA7" s="111">
        <v>2.1</v>
      </c>
      <c r="VCB7" s="111">
        <v>1.9</v>
      </c>
      <c r="VCC7" s="111">
        <v>2.5</v>
      </c>
      <c r="VCD7" s="111">
        <v>3.9</v>
      </c>
      <c r="VCH7" s="93">
        <v>3.1</v>
      </c>
      <c r="VCI7" s="93">
        <v>3.4</v>
      </c>
      <c r="VDD7" s="110" t="s">
        <v>140</v>
      </c>
      <c r="VDE7" s="111">
        <v>3.4</v>
      </c>
      <c r="VDF7" s="111">
        <v>2.8</v>
      </c>
      <c r="VDG7" s="111">
        <v>2.1</v>
      </c>
      <c r="VDH7" s="111">
        <v>1.9</v>
      </c>
      <c r="VDI7" s="111">
        <v>2.5</v>
      </c>
      <c r="VDJ7" s="111">
        <v>3.9</v>
      </c>
      <c r="VDN7" s="93">
        <v>3.1</v>
      </c>
      <c r="VDO7" s="93">
        <v>3.4</v>
      </c>
      <c r="VEJ7" s="110" t="s">
        <v>140</v>
      </c>
      <c r="VEK7" s="111">
        <v>3.4</v>
      </c>
      <c r="VEL7" s="111">
        <v>2.8</v>
      </c>
      <c r="VEM7" s="111">
        <v>2.1</v>
      </c>
      <c r="VEN7" s="111">
        <v>1.9</v>
      </c>
      <c r="VEO7" s="111">
        <v>2.5</v>
      </c>
      <c r="VEP7" s="111">
        <v>3.9</v>
      </c>
      <c r="VET7" s="93">
        <v>3.1</v>
      </c>
      <c r="VEU7" s="93">
        <v>3.4</v>
      </c>
      <c r="VFP7" s="110" t="s">
        <v>140</v>
      </c>
      <c r="VFQ7" s="111">
        <v>3.4</v>
      </c>
      <c r="VFR7" s="111">
        <v>2.8</v>
      </c>
      <c r="VFS7" s="111">
        <v>2.1</v>
      </c>
      <c r="VFT7" s="111">
        <v>1.9</v>
      </c>
      <c r="VFU7" s="111">
        <v>2.5</v>
      </c>
      <c r="VFV7" s="111">
        <v>3.9</v>
      </c>
      <c r="VFZ7" s="93">
        <v>3.1</v>
      </c>
      <c r="VGA7" s="93">
        <v>3.4</v>
      </c>
      <c r="VGV7" s="110" t="s">
        <v>140</v>
      </c>
      <c r="VGW7" s="111">
        <v>3.4</v>
      </c>
      <c r="VGX7" s="111">
        <v>2.8</v>
      </c>
      <c r="VGY7" s="111">
        <v>2.1</v>
      </c>
      <c r="VGZ7" s="111">
        <v>1.9</v>
      </c>
      <c r="VHA7" s="111">
        <v>2.5</v>
      </c>
      <c r="VHB7" s="111">
        <v>3.9</v>
      </c>
      <c r="VHF7" s="93">
        <v>3.1</v>
      </c>
      <c r="VHG7" s="93">
        <v>3.4</v>
      </c>
      <c r="VIB7" s="110" t="s">
        <v>140</v>
      </c>
      <c r="VIC7" s="111">
        <v>3.4</v>
      </c>
      <c r="VID7" s="111">
        <v>2.8</v>
      </c>
      <c r="VIE7" s="111">
        <v>2.1</v>
      </c>
      <c r="VIF7" s="111">
        <v>1.9</v>
      </c>
      <c r="VIG7" s="111">
        <v>2.5</v>
      </c>
      <c r="VIH7" s="111">
        <v>3.9</v>
      </c>
      <c r="VIL7" s="93">
        <v>3.1</v>
      </c>
      <c r="VIM7" s="93">
        <v>3.4</v>
      </c>
      <c r="VJH7" s="110" t="s">
        <v>140</v>
      </c>
      <c r="VJI7" s="111">
        <v>3.4</v>
      </c>
      <c r="VJJ7" s="111">
        <v>2.8</v>
      </c>
      <c r="VJK7" s="111">
        <v>2.1</v>
      </c>
      <c r="VJL7" s="111">
        <v>1.9</v>
      </c>
      <c r="VJM7" s="111">
        <v>2.5</v>
      </c>
      <c r="VJN7" s="111">
        <v>3.9</v>
      </c>
      <c r="VJR7" s="93">
        <v>3.1</v>
      </c>
      <c r="VJS7" s="93">
        <v>3.4</v>
      </c>
      <c r="VKN7" s="110" t="s">
        <v>140</v>
      </c>
      <c r="VKO7" s="111">
        <v>3.4</v>
      </c>
      <c r="VKP7" s="111">
        <v>2.8</v>
      </c>
      <c r="VKQ7" s="111">
        <v>2.1</v>
      </c>
      <c r="VKR7" s="111">
        <v>1.9</v>
      </c>
      <c r="VKS7" s="111">
        <v>2.5</v>
      </c>
      <c r="VKT7" s="111">
        <v>3.9</v>
      </c>
      <c r="VKX7" s="93">
        <v>3.1</v>
      </c>
      <c r="VKY7" s="93">
        <v>3.4</v>
      </c>
      <c r="VLT7" s="110" t="s">
        <v>140</v>
      </c>
      <c r="VLU7" s="111">
        <v>3.4</v>
      </c>
      <c r="VLV7" s="111">
        <v>2.8</v>
      </c>
      <c r="VLW7" s="111">
        <v>2.1</v>
      </c>
      <c r="VLX7" s="111">
        <v>1.9</v>
      </c>
      <c r="VLY7" s="111">
        <v>2.5</v>
      </c>
      <c r="VLZ7" s="111">
        <v>3.9</v>
      </c>
      <c r="VMD7" s="93">
        <v>3.1</v>
      </c>
      <c r="VME7" s="93">
        <v>3.4</v>
      </c>
      <c r="VMZ7" s="110" t="s">
        <v>140</v>
      </c>
      <c r="VNA7" s="111">
        <v>3.4</v>
      </c>
      <c r="VNB7" s="111">
        <v>2.8</v>
      </c>
      <c r="VNC7" s="111">
        <v>2.1</v>
      </c>
      <c r="VND7" s="111">
        <v>1.9</v>
      </c>
      <c r="VNE7" s="111">
        <v>2.5</v>
      </c>
      <c r="VNF7" s="111">
        <v>3.9</v>
      </c>
      <c r="VNJ7" s="93">
        <v>3.1</v>
      </c>
      <c r="VNK7" s="93">
        <v>3.4</v>
      </c>
      <c r="VOF7" s="110" t="s">
        <v>140</v>
      </c>
      <c r="VOG7" s="111">
        <v>3.4</v>
      </c>
      <c r="VOH7" s="111">
        <v>2.8</v>
      </c>
      <c r="VOI7" s="111">
        <v>2.1</v>
      </c>
      <c r="VOJ7" s="111">
        <v>1.9</v>
      </c>
      <c r="VOK7" s="111">
        <v>2.5</v>
      </c>
      <c r="VOL7" s="111">
        <v>3.9</v>
      </c>
      <c r="VOP7" s="93">
        <v>3.1</v>
      </c>
      <c r="VOQ7" s="93">
        <v>3.4</v>
      </c>
      <c r="VPL7" s="110" t="s">
        <v>140</v>
      </c>
      <c r="VPM7" s="111">
        <v>3.4</v>
      </c>
      <c r="VPN7" s="111">
        <v>2.8</v>
      </c>
      <c r="VPO7" s="111">
        <v>2.1</v>
      </c>
      <c r="VPP7" s="111">
        <v>1.9</v>
      </c>
      <c r="VPQ7" s="111">
        <v>2.5</v>
      </c>
      <c r="VPR7" s="111">
        <v>3.9</v>
      </c>
      <c r="VPV7" s="93">
        <v>3.1</v>
      </c>
      <c r="VPW7" s="93">
        <v>3.4</v>
      </c>
      <c r="VQR7" s="110" t="s">
        <v>140</v>
      </c>
      <c r="VQS7" s="111">
        <v>3.4</v>
      </c>
      <c r="VQT7" s="111">
        <v>2.8</v>
      </c>
      <c r="VQU7" s="111">
        <v>2.1</v>
      </c>
      <c r="VQV7" s="111">
        <v>1.9</v>
      </c>
      <c r="VQW7" s="111">
        <v>2.5</v>
      </c>
      <c r="VQX7" s="111">
        <v>3.9</v>
      </c>
      <c r="VRB7" s="93">
        <v>3.1</v>
      </c>
      <c r="VRC7" s="93">
        <v>3.4</v>
      </c>
      <c r="VRX7" s="110" t="s">
        <v>140</v>
      </c>
      <c r="VRY7" s="111">
        <v>3.4</v>
      </c>
      <c r="VRZ7" s="111">
        <v>2.8</v>
      </c>
      <c r="VSA7" s="111">
        <v>2.1</v>
      </c>
      <c r="VSB7" s="111">
        <v>1.9</v>
      </c>
      <c r="VSC7" s="111">
        <v>2.5</v>
      </c>
      <c r="VSD7" s="111">
        <v>3.9</v>
      </c>
      <c r="VSH7" s="93">
        <v>3.1</v>
      </c>
      <c r="VSI7" s="93">
        <v>3.4</v>
      </c>
      <c r="VTD7" s="110" t="s">
        <v>140</v>
      </c>
      <c r="VTE7" s="111">
        <v>3.4</v>
      </c>
      <c r="VTF7" s="111">
        <v>2.8</v>
      </c>
      <c r="VTG7" s="111">
        <v>2.1</v>
      </c>
      <c r="VTH7" s="111">
        <v>1.9</v>
      </c>
      <c r="VTI7" s="111">
        <v>2.5</v>
      </c>
      <c r="VTJ7" s="111">
        <v>3.9</v>
      </c>
      <c r="VTN7" s="93">
        <v>3.1</v>
      </c>
      <c r="VTO7" s="93">
        <v>3.4</v>
      </c>
      <c r="VUJ7" s="110" t="s">
        <v>140</v>
      </c>
      <c r="VUK7" s="111">
        <v>3.4</v>
      </c>
      <c r="VUL7" s="111">
        <v>2.8</v>
      </c>
      <c r="VUM7" s="111">
        <v>2.1</v>
      </c>
      <c r="VUN7" s="111">
        <v>1.9</v>
      </c>
      <c r="VUO7" s="111">
        <v>2.5</v>
      </c>
      <c r="VUP7" s="111">
        <v>3.9</v>
      </c>
      <c r="VUT7" s="93">
        <v>3.1</v>
      </c>
      <c r="VUU7" s="93">
        <v>3.4</v>
      </c>
      <c r="VVP7" s="110" t="s">
        <v>140</v>
      </c>
      <c r="VVQ7" s="111">
        <v>3.4</v>
      </c>
      <c r="VVR7" s="111">
        <v>2.8</v>
      </c>
      <c r="VVS7" s="111">
        <v>2.1</v>
      </c>
      <c r="VVT7" s="111">
        <v>1.9</v>
      </c>
      <c r="VVU7" s="111">
        <v>2.5</v>
      </c>
      <c r="VVV7" s="111">
        <v>3.9</v>
      </c>
      <c r="VVZ7" s="93">
        <v>3.1</v>
      </c>
      <c r="VWA7" s="93">
        <v>3.4</v>
      </c>
      <c r="VWV7" s="110" t="s">
        <v>140</v>
      </c>
      <c r="VWW7" s="111">
        <v>3.4</v>
      </c>
      <c r="VWX7" s="111">
        <v>2.8</v>
      </c>
      <c r="VWY7" s="111">
        <v>2.1</v>
      </c>
      <c r="VWZ7" s="111">
        <v>1.9</v>
      </c>
      <c r="VXA7" s="111">
        <v>2.5</v>
      </c>
      <c r="VXB7" s="111">
        <v>3.9</v>
      </c>
      <c r="VXF7" s="93">
        <v>3.1</v>
      </c>
      <c r="VXG7" s="93">
        <v>3.4</v>
      </c>
      <c r="VYB7" s="110" t="s">
        <v>140</v>
      </c>
      <c r="VYC7" s="111">
        <v>3.4</v>
      </c>
      <c r="VYD7" s="111">
        <v>2.8</v>
      </c>
      <c r="VYE7" s="111">
        <v>2.1</v>
      </c>
      <c r="VYF7" s="111">
        <v>1.9</v>
      </c>
      <c r="VYG7" s="111">
        <v>2.5</v>
      </c>
      <c r="VYH7" s="111">
        <v>3.9</v>
      </c>
      <c r="VYL7" s="93">
        <v>3.1</v>
      </c>
      <c r="VYM7" s="93">
        <v>3.4</v>
      </c>
      <c r="VZH7" s="110" t="s">
        <v>140</v>
      </c>
      <c r="VZI7" s="111">
        <v>3.4</v>
      </c>
      <c r="VZJ7" s="111">
        <v>2.8</v>
      </c>
      <c r="VZK7" s="111">
        <v>2.1</v>
      </c>
      <c r="VZL7" s="111">
        <v>1.9</v>
      </c>
      <c r="VZM7" s="111">
        <v>2.5</v>
      </c>
      <c r="VZN7" s="111">
        <v>3.9</v>
      </c>
      <c r="VZR7" s="93">
        <v>3.1</v>
      </c>
      <c r="VZS7" s="93">
        <v>3.4</v>
      </c>
      <c r="WAN7" s="110" t="s">
        <v>140</v>
      </c>
      <c r="WAO7" s="111">
        <v>3.4</v>
      </c>
      <c r="WAP7" s="111">
        <v>2.8</v>
      </c>
      <c r="WAQ7" s="111">
        <v>2.1</v>
      </c>
      <c r="WAR7" s="111">
        <v>1.9</v>
      </c>
      <c r="WAS7" s="111">
        <v>2.5</v>
      </c>
      <c r="WAT7" s="111">
        <v>3.9</v>
      </c>
      <c r="WAX7" s="93">
        <v>3.1</v>
      </c>
      <c r="WAY7" s="93">
        <v>3.4</v>
      </c>
      <c r="WBT7" s="110" t="s">
        <v>140</v>
      </c>
      <c r="WBU7" s="111">
        <v>3.4</v>
      </c>
      <c r="WBV7" s="111">
        <v>2.8</v>
      </c>
      <c r="WBW7" s="111">
        <v>2.1</v>
      </c>
      <c r="WBX7" s="111">
        <v>1.9</v>
      </c>
      <c r="WBY7" s="111">
        <v>2.5</v>
      </c>
      <c r="WBZ7" s="111">
        <v>3.9</v>
      </c>
      <c r="WCD7" s="93">
        <v>3.1</v>
      </c>
      <c r="WCE7" s="93">
        <v>3.4</v>
      </c>
      <c r="WCZ7" s="110" t="s">
        <v>140</v>
      </c>
      <c r="WDA7" s="111">
        <v>3.4</v>
      </c>
      <c r="WDB7" s="111">
        <v>2.8</v>
      </c>
      <c r="WDC7" s="111">
        <v>2.1</v>
      </c>
      <c r="WDD7" s="111">
        <v>1.9</v>
      </c>
      <c r="WDE7" s="111">
        <v>2.5</v>
      </c>
      <c r="WDF7" s="111">
        <v>3.9</v>
      </c>
      <c r="WDJ7" s="93">
        <v>3.1</v>
      </c>
      <c r="WDK7" s="93">
        <v>3.4</v>
      </c>
      <c r="WEF7" s="110" t="s">
        <v>140</v>
      </c>
      <c r="WEG7" s="111">
        <v>3.4</v>
      </c>
      <c r="WEH7" s="111">
        <v>2.8</v>
      </c>
      <c r="WEI7" s="111">
        <v>2.1</v>
      </c>
      <c r="WEJ7" s="111">
        <v>1.9</v>
      </c>
      <c r="WEK7" s="111">
        <v>2.5</v>
      </c>
      <c r="WEL7" s="111">
        <v>3.9</v>
      </c>
      <c r="WEP7" s="93">
        <v>3.1</v>
      </c>
      <c r="WEQ7" s="93">
        <v>3.4</v>
      </c>
      <c r="WFL7" s="110" t="s">
        <v>140</v>
      </c>
      <c r="WFM7" s="111">
        <v>3.4</v>
      </c>
      <c r="WFN7" s="111">
        <v>2.8</v>
      </c>
      <c r="WFO7" s="111">
        <v>2.1</v>
      </c>
      <c r="WFP7" s="111">
        <v>1.9</v>
      </c>
      <c r="WFQ7" s="111">
        <v>2.5</v>
      </c>
      <c r="WFR7" s="111">
        <v>3.9</v>
      </c>
      <c r="WFV7" s="93">
        <v>3.1</v>
      </c>
      <c r="WFW7" s="93">
        <v>3.4</v>
      </c>
      <c r="WGR7" s="110" t="s">
        <v>140</v>
      </c>
      <c r="WGS7" s="111">
        <v>3.4</v>
      </c>
      <c r="WGT7" s="111">
        <v>2.8</v>
      </c>
      <c r="WGU7" s="111">
        <v>2.1</v>
      </c>
      <c r="WGV7" s="111">
        <v>1.9</v>
      </c>
      <c r="WGW7" s="111">
        <v>2.5</v>
      </c>
      <c r="WGX7" s="111">
        <v>3.9</v>
      </c>
      <c r="WHB7" s="93">
        <v>3.1</v>
      </c>
      <c r="WHC7" s="93">
        <v>3.4</v>
      </c>
      <c r="WHX7" s="110" t="s">
        <v>140</v>
      </c>
      <c r="WHY7" s="111">
        <v>3.4</v>
      </c>
      <c r="WHZ7" s="111">
        <v>2.8</v>
      </c>
      <c r="WIA7" s="111">
        <v>2.1</v>
      </c>
      <c r="WIB7" s="111">
        <v>1.9</v>
      </c>
      <c r="WIC7" s="111">
        <v>2.5</v>
      </c>
      <c r="WID7" s="111">
        <v>3.9</v>
      </c>
      <c r="WIH7" s="93">
        <v>3.1</v>
      </c>
      <c r="WII7" s="93">
        <v>3.4</v>
      </c>
      <c r="WJD7" s="110" t="s">
        <v>140</v>
      </c>
      <c r="WJE7" s="111">
        <v>3.4</v>
      </c>
      <c r="WJF7" s="111">
        <v>2.8</v>
      </c>
      <c r="WJG7" s="111">
        <v>2.1</v>
      </c>
      <c r="WJH7" s="111">
        <v>1.9</v>
      </c>
      <c r="WJI7" s="111">
        <v>2.5</v>
      </c>
      <c r="WJJ7" s="111">
        <v>3.9</v>
      </c>
      <c r="WJN7" s="93">
        <v>3.1</v>
      </c>
      <c r="WJO7" s="93">
        <v>3.4</v>
      </c>
      <c r="WKJ7" s="110" t="s">
        <v>140</v>
      </c>
      <c r="WKK7" s="111">
        <v>3.4</v>
      </c>
      <c r="WKL7" s="111">
        <v>2.8</v>
      </c>
      <c r="WKM7" s="111">
        <v>2.1</v>
      </c>
      <c r="WKN7" s="111">
        <v>1.9</v>
      </c>
      <c r="WKO7" s="111">
        <v>2.5</v>
      </c>
      <c r="WKP7" s="111">
        <v>3.9</v>
      </c>
      <c r="WKT7" s="93">
        <v>3.1</v>
      </c>
      <c r="WKU7" s="93">
        <v>3.4</v>
      </c>
      <c r="WLP7" s="110" t="s">
        <v>140</v>
      </c>
      <c r="WLQ7" s="111">
        <v>3.4</v>
      </c>
      <c r="WLR7" s="111">
        <v>2.8</v>
      </c>
      <c r="WLS7" s="111">
        <v>2.1</v>
      </c>
      <c r="WLT7" s="111">
        <v>1.9</v>
      </c>
      <c r="WLU7" s="111">
        <v>2.5</v>
      </c>
      <c r="WLV7" s="111">
        <v>3.9</v>
      </c>
      <c r="WLZ7" s="93">
        <v>3.1</v>
      </c>
      <c r="WMA7" s="93">
        <v>3.4</v>
      </c>
      <c r="WMV7" s="110" t="s">
        <v>140</v>
      </c>
      <c r="WMW7" s="111">
        <v>3.4</v>
      </c>
      <c r="WMX7" s="111">
        <v>2.8</v>
      </c>
      <c r="WMY7" s="111">
        <v>2.1</v>
      </c>
      <c r="WMZ7" s="111">
        <v>1.9</v>
      </c>
      <c r="WNA7" s="111">
        <v>2.5</v>
      </c>
      <c r="WNB7" s="111">
        <v>3.9</v>
      </c>
      <c r="WNF7" s="93">
        <v>3.1</v>
      </c>
      <c r="WNG7" s="93">
        <v>3.4</v>
      </c>
      <c r="WOB7" s="110" t="s">
        <v>140</v>
      </c>
      <c r="WOC7" s="111">
        <v>3.4</v>
      </c>
      <c r="WOD7" s="111">
        <v>2.8</v>
      </c>
      <c r="WOE7" s="111">
        <v>2.1</v>
      </c>
      <c r="WOF7" s="111">
        <v>1.9</v>
      </c>
      <c r="WOG7" s="111">
        <v>2.5</v>
      </c>
      <c r="WOH7" s="111">
        <v>3.9</v>
      </c>
      <c r="WOL7" s="93">
        <v>3.1</v>
      </c>
      <c r="WOM7" s="93">
        <v>3.4</v>
      </c>
      <c r="WPH7" s="110" t="s">
        <v>140</v>
      </c>
      <c r="WPI7" s="111">
        <v>3.4</v>
      </c>
      <c r="WPJ7" s="111">
        <v>2.8</v>
      </c>
      <c r="WPK7" s="111">
        <v>2.1</v>
      </c>
      <c r="WPL7" s="111">
        <v>1.9</v>
      </c>
      <c r="WPM7" s="111">
        <v>2.5</v>
      </c>
      <c r="WPN7" s="111">
        <v>3.9</v>
      </c>
      <c r="WPR7" s="93">
        <v>3.1</v>
      </c>
      <c r="WPS7" s="93">
        <v>3.4</v>
      </c>
      <c r="WQN7" s="110" t="s">
        <v>140</v>
      </c>
      <c r="WQO7" s="111">
        <v>3.4</v>
      </c>
      <c r="WQP7" s="111">
        <v>2.8</v>
      </c>
      <c r="WQQ7" s="111">
        <v>2.1</v>
      </c>
      <c r="WQR7" s="111">
        <v>1.9</v>
      </c>
      <c r="WQS7" s="111">
        <v>2.5</v>
      </c>
      <c r="WQT7" s="111">
        <v>3.9</v>
      </c>
      <c r="WQX7" s="93">
        <v>3.1</v>
      </c>
      <c r="WQY7" s="93">
        <v>3.4</v>
      </c>
      <c r="WRT7" s="110" t="s">
        <v>140</v>
      </c>
      <c r="WRU7" s="111">
        <v>3.4</v>
      </c>
      <c r="WRV7" s="111">
        <v>2.8</v>
      </c>
      <c r="WRW7" s="111">
        <v>2.1</v>
      </c>
      <c r="WRX7" s="111">
        <v>1.9</v>
      </c>
      <c r="WRY7" s="111">
        <v>2.5</v>
      </c>
      <c r="WRZ7" s="111">
        <v>3.9</v>
      </c>
      <c r="WSD7" s="93">
        <v>3.1</v>
      </c>
      <c r="WSE7" s="93">
        <v>3.4</v>
      </c>
      <c r="WSZ7" s="110" t="s">
        <v>140</v>
      </c>
      <c r="WTA7" s="111">
        <v>3.4</v>
      </c>
      <c r="WTB7" s="111">
        <v>2.8</v>
      </c>
      <c r="WTC7" s="111">
        <v>2.1</v>
      </c>
      <c r="WTD7" s="111">
        <v>1.9</v>
      </c>
      <c r="WTE7" s="111">
        <v>2.5</v>
      </c>
      <c r="WTF7" s="111">
        <v>3.9</v>
      </c>
      <c r="WTJ7" s="93">
        <v>3.1</v>
      </c>
      <c r="WTK7" s="93">
        <v>3.4</v>
      </c>
      <c r="WUF7" s="110" t="s">
        <v>140</v>
      </c>
      <c r="WUG7" s="111">
        <v>3.4</v>
      </c>
      <c r="WUH7" s="111">
        <v>2.8</v>
      </c>
      <c r="WUI7" s="111">
        <v>2.1</v>
      </c>
      <c r="WUJ7" s="111">
        <v>1.9</v>
      </c>
      <c r="WUK7" s="111">
        <v>2.5</v>
      </c>
      <c r="WUL7" s="111">
        <v>3.9</v>
      </c>
      <c r="WUP7" s="93">
        <v>3.1</v>
      </c>
      <c r="WUQ7" s="93">
        <v>3.4</v>
      </c>
      <c r="WVL7" s="110" t="s">
        <v>140</v>
      </c>
      <c r="WVM7" s="111">
        <v>3.4</v>
      </c>
      <c r="WVN7" s="111">
        <v>2.8</v>
      </c>
      <c r="WVO7" s="111">
        <v>2.1</v>
      </c>
      <c r="WVP7" s="111">
        <v>1.9</v>
      </c>
      <c r="WVQ7" s="111">
        <v>2.5</v>
      </c>
      <c r="WVR7" s="111">
        <v>3.9</v>
      </c>
      <c r="WVV7" s="93">
        <v>3.1</v>
      </c>
      <c r="WVW7" s="93">
        <v>3.4</v>
      </c>
      <c r="WWR7" s="110" t="s">
        <v>140</v>
      </c>
      <c r="WWS7" s="111">
        <v>3.4</v>
      </c>
      <c r="WWT7" s="111">
        <v>2.8</v>
      </c>
      <c r="WWU7" s="111">
        <v>2.1</v>
      </c>
      <c r="WWV7" s="111">
        <v>1.9</v>
      </c>
      <c r="WWW7" s="111">
        <v>2.5</v>
      </c>
      <c r="WWX7" s="111">
        <v>3.9</v>
      </c>
      <c r="WXB7" s="93">
        <v>3.1</v>
      </c>
      <c r="WXC7" s="93">
        <v>3.4</v>
      </c>
      <c r="WXX7" s="110" t="s">
        <v>140</v>
      </c>
      <c r="WXY7" s="111">
        <v>3.4</v>
      </c>
      <c r="WXZ7" s="111">
        <v>2.8</v>
      </c>
      <c r="WYA7" s="111">
        <v>2.1</v>
      </c>
      <c r="WYB7" s="111">
        <v>1.9</v>
      </c>
      <c r="WYC7" s="111">
        <v>2.5</v>
      </c>
      <c r="WYD7" s="111">
        <v>3.9</v>
      </c>
      <c r="WYH7" s="93">
        <v>3.1</v>
      </c>
      <c r="WYI7" s="93">
        <v>3.4</v>
      </c>
      <c r="WZD7" s="110" t="s">
        <v>140</v>
      </c>
      <c r="WZE7" s="111">
        <v>3.4</v>
      </c>
      <c r="WZF7" s="111">
        <v>2.8</v>
      </c>
      <c r="WZG7" s="111">
        <v>2.1</v>
      </c>
      <c r="WZH7" s="111">
        <v>1.9</v>
      </c>
      <c r="WZI7" s="111">
        <v>2.5</v>
      </c>
      <c r="WZJ7" s="111">
        <v>3.9</v>
      </c>
      <c r="WZN7" s="93">
        <v>3.1</v>
      </c>
      <c r="WZO7" s="93">
        <v>3.4</v>
      </c>
      <c r="XAJ7" s="110" t="s">
        <v>140</v>
      </c>
      <c r="XAK7" s="111">
        <v>3.4</v>
      </c>
      <c r="XAL7" s="111">
        <v>2.8</v>
      </c>
      <c r="XAM7" s="111">
        <v>2.1</v>
      </c>
      <c r="XAN7" s="111">
        <v>1.9</v>
      </c>
      <c r="XAO7" s="111">
        <v>2.5</v>
      </c>
      <c r="XAP7" s="111">
        <v>3.9</v>
      </c>
      <c r="XAT7" s="93">
        <v>3.1</v>
      </c>
      <c r="XAU7" s="93">
        <v>3.4</v>
      </c>
      <c r="XBP7" s="110" t="s">
        <v>140</v>
      </c>
      <c r="XBQ7" s="111">
        <v>3.4</v>
      </c>
      <c r="XBR7" s="111">
        <v>2.8</v>
      </c>
      <c r="XBS7" s="111">
        <v>2.1</v>
      </c>
      <c r="XBT7" s="111">
        <v>1.9</v>
      </c>
      <c r="XBU7" s="111">
        <v>2.5</v>
      </c>
      <c r="XBV7" s="111">
        <v>3.9</v>
      </c>
      <c r="XBZ7" s="93">
        <v>3.1</v>
      </c>
      <c r="XCA7" s="93">
        <v>3.4</v>
      </c>
      <c r="XCV7" s="110" t="s">
        <v>140</v>
      </c>
      <c r="XCW7" s="111">
        <v>3.4</v>
      </c>
      <c r="XCX7" s="111">
        <v>2.8</v>
      </c>
      <c r="XCY7" s="111">
        <v>2.1</v>
      </c>
      <c r="XCZ7" s="111">
        <v>1.9</v>
      </c>
      <c r="XDA7" s="111">
        <v>2.5</v>
      </c>
      <c r="XDB7" s="111">
        <v>3.9</v>
      </c>
      <c r="XDF7" s="93">
        <v>3.1</v>
      </c>
      <c r="XDG7" s="93">
        <v>3.4</v>
      </c>
      <c r="XEB7" s="110" t="s">
        <v>140</v>
      </c>
      <c r="XEC7" s="111">
        <v>3.4</v>
      </c>
      <c r="XED7" s="111">
        <v>2.8</v>
      </c>
      <c r="XEE7" s="111">
        <v>2.1</v>
      </c>
      <c r="XEF7" s="111">
        <v>1.9</v>
      </c>
      <c r="XEG7" s="111">
        <v>2.5</v>
      </c>
      <c r="XEH7" s="111">
        <v>3.9</v>
      </c>
      <c r="XEL7" s="93">
        <v>3.1</v>
      </c>
      <c r="XEM7" s="93">
        <v>3.4</v>
      </c>
    </row>
    <row r="8" spans="2:1007 1026:2031 2050:3055 3074:4079 4098:5103 5122:6127 6146:7151 7170:8175 8194:9199 9218:10223 10242:11247 11266:12271 12290:13295 13314:14319 14338:15343 15362:16367" s="94" customFormat="1" ht="16.3" thickBot="1">
      <c r="D8" s="110" t="s">
        <v>139</v>
      </c>
      <c r="E8" s="111">
        <v>3.1</v>
      </c>
      <c r="F8" s="111">
        <v>2.2000000000000002</v>
      </c>
      <c r="G8" s="111">
        <v>2.1</v>
      </c>
      <c r="H8" s="111">
        <v>1.5</v>
      </c>
      <c r="I8" s="111">
        <v>2</v>
      </c>
      <c r="J8" s="111">
        <v>3.3</v>
      </c>
      <c r="L8" s="112"/>
      <c r="M8" s="112"/>
      <c r="N8" s="112"/>
      <c r="O8" s="112"/>
      <c r="P8" s="112"/>
      <c r="Q8" s="112"/>
      <c r="AJ8" s="110" t="s">
        <v>139</v>
      </c>
      <c r="AK8" s="111">
        <v>3.1</v>
      </c>
      <c r="AL8" s="111">
        <v>2.2000000000000002</v>
      </c>
      <c r="AM8" s="111">
        <v>2.1</v>
      </c>
      <c r="AN8" s="111">
        <v>1.5</v>
      </c>
      <c r="AO8" s="111">
        <v>2</v>
      </c>
      <c r="AP8" s="111">
        <v>3.3</v>
      </c>
      <c r="AT8" s="93">
        <v>2.2000000000000002</v>
      </c>
      <c r="AU8" s="93">
        <v>2.8</v>
      </c>
      <c r="BP8" s="110" t="s">
        <v>139</v>
      </c>
      <c r="BQ8" s="111">
        <v>3.1</v>
      </c>
      <c r="BR8" s="111">
        <v>2.2000000000000002</v>
      </c>
      <c r="BS8" s="111">
        <v>2.1</v>
      </c>
      <c r="BT8" s="111">
        <v>1.5</v>
      </c>
      <c r="BU8" s="111">
        <v>2</v>
      </c>
      <c r="BV8" s="111">
        <v>3.3</v>
      </c>
      <c r="BZ8" s="93">
        <v>2.2000000000000002</v>
      </c>
      <c r="CA8" s="93">
        <v>2.8</v>
      </c>
      <c r="CV8" s="110" t="s">
        <v>139</v>
      </c>
      <c r="CW8" s="111">
        <v>3.1</v>
      </c>
      <c r="CX8" s="111">
        <v>2.2000000000000002</v>
      </c>
      <c r="CY8" s="111">
        <v>2.1</v>
      </c>
      <c r="CZ8" s="111">
        <v>1.5</v>
      </c>
      <c r="DA8" s="111">
        <v>2</v>
      </c>
      <c r="DB8" s="111">
        <v>3.3</v>
      </c>
      <c r="DF8" s="93">
        <v>2.2000000000000002</v>
      </c>
      <c r="DG8" s="93">
        <v>2.8</v>
      </c>
      <c r="EB8" s="110" t="s">
        <v>139</v>
      </c>
      <c r="EC8" s="111">
        <v>3.1</v>
      </c>
      <c r="ED8" s="111">
        <v>2.2000000000000002</v>
      </c>
      <c r="EE8" s="111">
        <v>2.1</v>
      </c>
      <c r="EF8" s="111">
        <v>1.5</v>
      </c>
      <c r="EG8" s="111">
        <v>2</v>
      </c>
      <c r="EH8" s="111">
        <v>3.3</v>
      </c>
      <c r="EL8" s="93">
        <v>2.2000000000000002</v>
      </c>
      <c r="EM8" s="93">
        <v>2.8</v>
      </c>
      <c r="FH8" s="110" t="s">
        <v>139</v>
      </c>
      <c r="FI8" s="111">
        <v>3.1</v>
      </c>
      <c r="FJ8" s="111">
        <v>2.2000000000000002</v>
      </c>
      <c r="FK8" s="111">
        <v>2.1</v>
      </c>
      <c r="FL8" s="111">
        <v>1.5</v>
      </c>
      <c r="FM8" s="111">
        <v>2</v>
      </c>
      <c r="FN8" s="111">
        <v>3.3</v>
      </c>
      <c r="FR8" s="93">
        <v>2.2000000000000002</v>
      </c>
      <c r="FS8" s="93">
        <v>2.8</v>
      </c>
      <c r="GN8" s="110" t="s">
        <v>139</v>
      </c>
      <c r="GO8" s="111">
        <v>3.1</v>
      </c>
      <c r="GP8" s="111">
        <v>2.2000000000000002</v>
      </c>
      <c r="GQ8" s="111">
        <v>2.1</v>
      </c>
      <c r="GR8" s="111">
        <v>1.5</v>
      </c>
      <c r="GS8" s="111">
        <v>2</v>
      </c>
      <c r="GT8" s="111">
        <v>3.3</v>
      </c>
      <c r="GX8" s="93">
        <v>2.2000000000000002</v>
      </c>
      <c r="GY8" s="93">
        <v>2.8</v>
      </c>
      <c r="HT8" s="110" t="s">
        <v>139</v>
      </c>
      <c r="HU8" s="111">
        <v>3.1</v>
      </c>
      <c r="HV8" s="111">
        <v>2.2000000000000002</v>
      </c>
      <c r="HW8" s="111">
        <v>2.1</v>
      </c>
      <c r="HX8" s="111">
        <v>1.5</v>
      </c>
      <c r="HY8" s="111">
        <v>2</v>
      </c>
      <c r="HZ8" s="111">
        <v>3.3</v>
      </c>
      <c r="ID8" s="93">
        <v>2.2000000000000002</v>
      </c>
      <c r="IE8" s="93">
        <v>2.8</v>
      </c>
      <c r="IZ8" s="110" t="s">
        <v>139</v>
      </c>
      <c r="JA8" s="111">
        <v>3.1</v>
      </c>
      <c r="JB8" s="111">
        <v>2.2000000000000002</v>
      </c>
      <c r="JC8" s="111">
        <v>2.1</v>
      </c>
      <c r="JD8" s="111">
        <v>1.5</v>
      </c>
      <c r="JE8" s="111">
        <v>2</v>
      </c>
      <c r="JF8" s="111">
        <v>3.3</v>
      </c>
      <c r="JJ8" s="93">
        <v>2.2000000000000002</v>
      </c>
      <c r="JK8" s="93">
        <v>2.8</v>
      </c>
      <c r="KF8" s="110" t="s">
        <v>139</v>
      </c>
      <c r="KG8" s="111">
        <v>3.1</v>
      </c>
      <c r="KH8" s="111">
        <v>2.2000000000000002</v>
      </c>
      <c r="KI8" s="111">
        <v>2.1</v>
      </c>
      <c r="KJ8" s="111">
        <v>1.5</v>
      </c>
      <c r="KK8" s="111">
        <v>2</v>
      </c>
      <c r="KL8" s="111">
        <v>3.3</v>
      </c>
      <c r="KP8" s="93">
        <v>2.2000000000000002</v>
      </c>
      <c r="KQ8" s="93">
        <v>2.8</v>
      </c>
      <c r="LL8" s="110" t="s">
        <v>139</v>
      </c>
      <c r="LM8" s="111">
        <v>3.1</v>
      </c>
      <c r="LN8" s="111">
        <v>2.2000000000000002</v>
      </c>
      <c r="LO8" s="111">
        <v>2.1</v>
      </c>
      <c r="LP8" s="111">
        <v>1.5</v>
      </c>
      <c r="LQ8" s="111">
        <v>2</v>
      </c>
      <c r="LR8" s="111">
        <v>3.3</v>
      </c>
      <c r="LV8" s="93">
        <v>2.2000000000000002</v>
      </c>
      <c r="LW8" s="93">
        <v>2.8</v>
      </c>
      <c r="MR8" s="110" t="s">
        <v>139</v>
      </c>
      <c r="MS8" s="111">
        <v>3.1</v>
      </c>
      <c r="MT8" s="111">
        <v>2.2000000000000002</v>
      </c>
      <c r="MU8" s="111">
        <v>2.1</v>
      </c>
      <c r="MV8" s="111">
        <v>1.5</v>
      </c>
      <c r="MW8" s="111">
        <v>2</v>
      </c>
      <c r="MX8" s="111">
        <v>3.3</v>
      </c>
      <c r="NB8" s="93">
        <v>2.2000000000000002</v>
      </c>
      <c r="NC8" s="93">
        <v>2.8</v>
      </c>
      <c r="NX8" s="110" t="s">
        <v>139</v>
      </c>
      <c r="NY8" s="111">
        <v>3.1</v>
      </c>
      <c r="NZ8" s="111">
        <v>2.2000000000000002</v>
      </c>
      <c r="OA8" s="111">
        <v>2.1</v>
      </c>
      <c r="OB8" s="111">
        <v>1.5</v>
      </c>
      <c r="OC8" s="111">
        <v>2</v>
      </c>
      <c r="OD8" s="111">
        <v>3.3</v>
      </c>
      <c r="OH8" s="93">
        <v>2.2000000000000002</v>
      </c>
      <c r="OI8" s="93">
        <v>2.8</v>
      </c>
      <c r="PD8" s="110" t="s">
        <v>139</v>
      </c>
      <c r="PE8" s="111">
        <v>3.1</v>
      </c>
      <c r="PF8" s="111">
        <v>2.2000000000000002</v>
      </c>
      <c r="PG8" s="111">
        <v>2.1</v>
      </c>
      <c r="PH8" s="111">
        <v>1.5</v>
      </c>
      <c r="PI8" s="111">
        <v>2</v>
      </c>
      <c r="PJ8" s="111">
        <v>3.3</v>
      </c>
      <c r="PN8" s="93">
        <v>2.2000000000000002</v>
      </c>
      <c r="PO8" s="93">
        <v>2.8</v>
      </c>
      <c r="QJ8" s="110" t="s">
        <v>139</v>
      </c>
      <c r="QK8" s="111">
        <v>3.1</v>
      </c>
      <c r="QL8" s="111">
        <v>2.2000000000000002</v>
      </c>
      <c r="QM8" s="111">
        <v>2.1</v>
      </c>
      <c r="QN8" s="111">
        <v>1.5</v>
      </c>
      <c r="QO8" s="111">
        <v>2</v>
      </c>
      <c r="QP8" s="111">
        <v>3.3</v>
      </c>
      <c r="QT8" s="93">
        <v>2.2000000000000002</v>
      </c>
      <c r="QU8" s="93">
        <v>2.8</v>
      </c>
      <c r="RP8" s="110" t="s">
        <v>139</v>
      </c>
      <c r="RQ8" s="111">
        <v>3.1</v>
      </c>
      <c r="RR8" s="111">
        <v>2.2000000000000002</v>
      </c>
      <c r="RS8" s="111">
        <v>2.1</v>
      </c>
      <c r="RT8" s="111">
        <v>1.5</v>
      </c>
      <c r="RU8" s="111">
        <v>2</v>
      </c>
      <c r="RV8" s="111">
        <v>3.3</v>
      </c>
      <c r="RZ8" s="93">
        <v>2.2000000000000002</v>
      </c>
      <c r="SA8" s="93">
        <v>2.8</v>
      </c>
      <c r="SV8" s="110" t="s">
        <v>139</v>
      </c>
      <c r="SW8" s="111">
        <v>3.1</v>
      </c>
      <c r="SX8" s="111">
        <v>2.2000000000000002</v>
      </c>
      <c r="SY8" s="111">
        <v>2.1</v>
      </c>
      <c r="SZ8" s="111">
        <v>1.5</v>
      </c>
      <c r="TA8" s="111">
        <v>2</v>
      </c>
      <c r="TB8" s="111">
        <v>3.3</v>
      </c>
      <c r="TF8" s="93">
        <v>2.2000000000000002</v>
      </c>
      <c r="TG8" s="93">
        <v>2.8</v>
      </c>
      <c r="UB8" s="110" t="s">
        <v>139</v>
      </c>
      <c r="UC8" s="111">
        <v>3.1</v>
      </c>
      <c r="UD8" s="111">
        <v>2.2000000000000002</v>
      </c>
      <c r="UE8" s="111">
        <v>2.1</v>
      </c>
      <c r="UF8" s="111">
        <v>1.5</v>
      </c>
      <c r="UG8" s="111">
        <v>2</v>
      </c>
      <c r="UH8" s="111">
        <v>3.3</v>
      </c>
      <c r="UL8" s="93">
        <v>2.2000000000000002</v>
      </c>
      <c r="UM8" s="93">
        <v>2.8</v>
      </c>
      <c r="VH8" s="110" t="s">
        <v>139</v>
      </c>
      <c r="VI8" s="111">
        <v>3.1</v>
      </c>
      <c r="VJ8" s="111">
        <v>2.2000000000000002</v>
      </c>
      <c r="VK8" s="111">
        <v>2.1</v>
      </c>
      <c r="VL8" s="111">
        <v>1.5</v>
      </c>
      <c r="VM8" s="111">
        <v>2</v>
      </c>
      <c r="VN8" s="111">
        <v>3.3</v>
      </c>
      <c r="VR8" s="93">
        <v>2.2000000000000002</v>
      </c>
      <c r="VS8" s="93">
        <v>2.8</v>
      </c>
      <c r="WN8" s="110" t="s">
        <v>139</v>
      </c>
      <c r="WO8" s="111">
        <v>3.1</v>
      </c>
      <c r="WP8" s="111">
        <v>2.2000000000000002</v>
      </c>
      <c r="WQ8" s="111">
        <v>2.1</v>
      </c>
      <c r="WR8" s="111">
        <v>1.5</v>
      </c>
      <c r="WS8" s="111">
        <v>2</v>
      </c>
      <c r="WT8" s="111">
        <v>3.3</v>
      </c>
      <c r="WX8" s="93">
        <v>2.2000000000000002</v>
      </c>
      <c r="WY8" s="93">
        <v>2.8</v>
      </c>
      <c r="XT8" s="110" t="s">
        <v>139</v>
      </c>
      <c r="XU8" s="111">
        <v>3.1</v>
      </c>
      <c r="XV8" s="111">
        <v>2.2000000000000002</v>
      </c>
      <c r="XW8" s="111">
        <v>2.1</v>
      </c>
      <c r="XX8" s="111">
        <v>1.5</v>
      </c>
      <c r="XY8" s="111">
        <v>2</v>
      </c>
      <c r="XZ8" s="111">
        <v>3.3</v>
      </c>
      <c r="YD8" s="93">
        <v>2.2000000000000002</v>
      </c>
      <c r="YE8" s="93">
        <v>2.8</v>
      </c>
      <c r="YZ8" s="110" t="s">
        <v>139</v>
      </c>
      <c r="ZA8" s="111">
        <v>3.1</v>
      </c>
      <c r="ZB8" s="111">
        <v>2.2000000000000002</v>
      </c>
      <c r="ZC8" s="111">
        <v>2.1</v>
      </c>
      <c r="ZD8" s="111">
        <v>1.5</v>
      </c>
      <c r="ZE8" s="111">
        <v>2</v>
      </c>
      <c r="ZF8" s="111">
        <v>3.3</v>
      </c>
      <c r="ZJ8" s="93">
        <v>2.2000000000000002</v>
      </c>
      <c r="ZK8" s="93">
        <v>2.8</v>
      </c>
      <c r="AAF8" s="110" t="s">
        <v>139</v>
      </c>
      <c r="AAG8" s="111">
        <v>3.1</v>
      </c>
      <c r="AAH8" s="111">
        <v>2.2000000000000002</v>
      </c>
      <c r="AAI8" s="111">
        <v>2.1</v>
      </c>
      <c r="AAJ8" s="111">
        <v>1.5</v>
      </c>
      <c r="AAK8" s="111">
        <v>2</v>
      </c>
      <c r="AAL8" s="111">
        <v>3.3</v>
      </c>
      <c r="AAP8" s="93">
        <v>2.2000000000000002</v>
      </c>
      <c r="AAQ8" s="93">
        <v>2.8</v>
      </c>
      <c r="ABL8" s="110" t="s">
        <v>139</v>
      </c>
      <c r="ABM8" s="111">
        <v>3.1</v>
      </c>
      <c r="ABN8" s="111">
        <v>2.2000000000000002</v>
      </c>
      <c r="ABO8" s="111">
        <v>2.1</v>
      </c>
      <c r="ABP8" s="111">
        <v>1.5</v>
      </c>
      <c r="ABQ8" s="111">
        <v>2</v>
      </c>
      <c r="ABR8" s="111">
        <v>3.3</v>
      </c>
      <c r="ABV8" s="93">
        <v>2.2000000000000002</v>
      </c>
      <c r="ABW8" s="93">
        <v>2.8</v>
      </c>
      <c r="ACR8" s="110" t="s">
        <v>139</v>
      </c>
      <c r="ACS8" s="111">
        <v>3.1</v>
      </c>
      <c r="ACT8" s="111">
        <v>2.2000000000000002</v>
      </c>
      <c r="ACU8" s="111">
        <v>2.1</v>
      </c>
      <c r="ACV8" s="111">
        <v>1.5</v>
      </c>
      <c r="ACW8" s="111">
        <v>2</v>
      </c>
      <c r="ACX8" s="111">
        <v>3.3</v>
      </c>
      <c r="ADB8" s="93">
        <v>2.2000000000000002</v>
      </c>
      <c r="ADC8" s="93">
        <v>2.8</v>
      </c>
      <c r="ADX8" s="110" t="s">
        <v>139</v>
      </c>
      <c r="ADY8" s="111">
        <v>3.1</v>
      </c>
      <c r="ADZ8" s="111">
        <v>2.2000000000000002</v>
      </c>
      <c r="AEA8" s="111">
        <v>2.1</v>
      </c>
      <c r="AEB8" s="111">
        <v>1.5</v>
      </c>
      <c r="AEC8" s="111">
        <v>2</v>
      </c>
      <c r="AED8" s="111">
        <v>3.3</v>
      </c>
      <c r="AEH8" s="93">
        <v>2.2000000000000002</v>
      </c>
      <c r="AEI8" s="93">
        <v>2.8</v>
      </c>
      <c r="AFD8" s="110" t="s">
        <v>139</v>
      </c>
      <c r="AFE8" s="111">
        <v>3.1</v>
      </c>
      <c r="AFF8" s="111">
        <v>2.2000000000000002</v>
      </c>
      <c r="AFG8" s="111">
        <v>2.1</v>
      </c>
      <c r="AFH8" s="111">
        <v>1.5</v>
      </c>
      <c r="AFI8" s="111">
        <v>2</v>
      </c>
      <c r="AFJ8" s="111">
        <v>3.3</v>
      </c>
      <c r="AFN8" s="93">
        <v>2.2000000000000002</v>
      </c>
      <c r="AFO8" s="93">
        <v>2.8</v>
      </c>
      <c r="AGJ8" s="110" t="s">
        <v>139</v>
      </c>
      <c r="AGK8" s="111">
        <v>3.1</v>
      </c>
      <c r="AGL8" s="111">
        <v>2.2000000000000002</v>
      </c>
      <c r="AGM8" s="111">
        <v>2.1</v>
      </c>
      <c r="AGN8" s="111">
        <v>1.5</v>
      </c>
      <c r="AGO8" s="111">
        <v>2</v>
      </c>
      <c r="AGP8" s="111">
        <v>3.3</v>
      </c>
      <c r="AGT8" s="93">
        <v>2.2000000000000002</v>
      </c>
      <c r="AGU8" s="93">
        <v>2.8</v>
      </c>
      <c r="AHP8" s="110" t="s">
        <v>139</v>
      </c>
      <c r="AHQ8" s="111">
        <v>3.1</v>
      </c>
      <c r="AHR8" s="111">
        <v>2.2000000000000002</v>
      </c>
      <c r="AHS8" s="111">
        <v>2.1</v>
      </c>
      <c r="AHT8" s="111">
        <v>1.5</v>
      </c>
      <c r="AHU8" s="111">
        <v>2</v>
      </c>
      <c r="AHV8" s="111">
        <v>3.3</v>
      </c>
      <c r="AHZ8" s="93">
        <v>2.2000000000000002</v>
      </c>
      <c r="AIA8" s="93">
        <v>2.8</v>
      </c>
      <c r="AIV8" s="110" t="s">
        <v>139</v>
      </c>
      <c r="AIW8" s="111">
        <v>3.1</v>
      </c>
      <c r="AIX8" s="111">
        <v>2.2000000000000002</v>
      </c>
      <c r="AIY8" s="111">
        <v>2.1</v>
      </c>
      <c r="AIZ8" s="111">
        <v>1.5</v>
      </c>
      <c r="AJA8" s="111">
        <v>2</v>
      </c>
      <c r="AJB8" s="111">
        <v>3.3</v>
      </c>
      <c r="AJF8" s="93">
        <v>2.2000000000000002</v>
      </c>
      <c r="AJG8" s="93">
        <v>2.8</v>
      </c>
      <c r="AKB8" s="110" t="s">
        <v>139</v>
      </c>
      <c r="AKC8" s="111">
        <v>3.1</v>
      </c>
      <c r="AKD8" s="111">
        <v>2.2000000000000002</v>
      </c>
      <c r="AKE8" s="111">
        <v>2.1</v>
      </c>
      <c r="AKF8" s="111">
        <v>1.5</v>
      </c>
      <c r="AKG8" s="111">
        <v>2</v>
      </c>
      <c r="AKH8" s="111">
        <v>3.3</v>
      </c>
      <c r="AKL8" s="93">
        <v>2.2000000000000002</v>
      </c>
      <c r="AKM8" s="93">
        <v>2.8</v>
      </c>
      <c r="ALH8" s="110" t="s">
        <v>139</v>
      </c>
      <c r="ALI8" s="111">
        <v>3.1</v>
      </c>
      <c r="ALJ8" s="111">
        <v>2.2000000000000002</v>
      </c>
      <c r="ALK8" s="111">
        <v>2.1</v>
      </c>
      <c r="ALL8" s="111">
        <v>1.5</v>
      </c>
      <c r="ALM8" s="111">
        <v>2</v>
      </c>
      <c r="ALN8" s="111">
        <v>3.3</v>
      </c>
      <c r="ALR8" s="93">
        <v>2.2000000000000002</v>
      </c>
      <c r="ALS8" s="93">
        <v>2.8</v>
      </c>
      <c r="AMN8" s="110" t="s">
        <v>139</v>
      </c>
      <c r="AMO8" s="111">
        <v>3.1</v>
      </c>
      <c r="AMP8" s="111">
        <v>2.2000000000000002</v>
      </c>
      <c r="AMQ8" s="111">
        <v>2.1</v>
      </c>
      <c r="AMR8" s="111">
        <v>1.5</v>
      </c>
      <c r="AMS8" s="111">
        <v>2</v>
      </c>
      <c r="AMT8" s="111">
        <v>3.3</v>
      </c>
      <c r="AMX8" s="93">
        <v>2.2000000000000002</v>
      </c>
      <c r="AMY8" s="93">
        <v>2.8</v>
      </c>
      <c r="ANT8" s="110" t="s">
        <v>139</v>
      </c>
      <c r="ANU8" s="111">
        <v>3.1</v>
      </c>
      <c r="ANV8" s="111">
        <v>2.2000000000000002</v>
      </c>
      <c r="ANW8" s="111">
        <v>2.1</v>
      </c>
      <c r="ANX8" s="111">
        <v>1.5</v>
      </c>
      <c r="ANY8" s="111">
        <v>2</v>
      </c>
      <c r="ANZ8" s="111">
        <v>3.3</v>
      </c>
      <c r="AOD8" s="93">
        <v>2.2000000000000002</v>
      </c>
      <c r="AOE8" s="93">
        <v>2.8</v>
      </c>
      <c r="AOZ8" s="110" t="s">
        <v>139</v>
      </c>
      <c r="APA8" s="111">
        <v>3.1</v>
      </c>
      <c r="APB8" s="111">
        <v>2.2000000000000002</v>
      </c>
      <c r="APC8" s="111">
        <v>2.1</v>
      </c>
      <c r="APD8" s="111">
        <v>1.5</v>
      </c>
      <c r="APE8" s="111">
        <v>2</v>
      </c>
      <c r="APF8" s="111">
        <v>3.3</v>
      </c>
      <c r="APJ8" s="93">
        <v>2.2000000000000002</v>
      </c>
      <c r="APK8" s="93">
        <v>2.8</v>
      </c>
      <c r="AQF8" s="110" t="s">
        <v>139</v>
      </c>
      <c r="AQG8" s="111">
        <v>3.1</v>
      </c>
      <c r="AQH8" s="111">
        <v>2.2000000000000002</v>
      </c>
      <c r="AQI8" s="111">
        <v>2.1</v>
      </c>
      <c r="AQJ8" s="111">
        <v>1.5</v>
      </c>
      <c r="AQK8" s="111">
        <v>2</v>
      </c>
      <c r="AQL8" s="111">
        <v>3.3</v>
      </c>
      <c r="AQP8" s="93">
        <v>2.2000000000000002</v>
      </c>
      <c r="AQQ8" s="93">
        <v>2.8</v>
      </c>
      <c r="ARL8" s="110" t="s">
        <v>139</v>
      </c>
      <c r="ARM8" s="111">
        <v>3.1</v>
      </c>
      <c r="ARN8" s="111">
        <v>2.2000000000000002</v>
      </c>
      <c r="ARO8" s="111">
        <v>2.1</v>
      </c>
      <c r="ARP8" s="111">
        <v>1.5</v>
      </c>
      <c r="ARQ8" s="111">
        <v>2</v>
      </c>
      <c r="ARR8" s="111">
        <v>3.3</v>
      </c>
      <c r="ARV8" s="93">
        <v>2.2000000000000002</v>
      </c>
      <c r="ARW8" s="93">
        <v>2.8</v>
      </c>
      <c r="ASR8" s="110" t="s">
        <v>139</v>
      </c>
      <c r="ASS8" s="111">
        <v>3.1</v>
      </c>
      <c r="AST8" s="111">
        <v>2.2000000000000002</v>
      </c>
      <c r="ASU8" s="111">
        <v>2.1</v>
      </c>
      <c r="ASV8" s="111">
        <v>1.5</v>
      </c>
      <c r="ASW8" s="111">
        <v>2</v>
      </c>
      <c r="ASX8" s="111">
        <v>3.3</v>
      </c>
      <c r="ATB8" s="93">
        <v>2.2000000000000002</v>
      </c>
      <c r="ATC8" s="93">
        <v>2.8</v>
      </c>
      <c r="ATX8" s="110" t="s">
        <v>139</v>
      </c>
      <c r="ATY8" s="111">
        <v>3.1</v>
      </c>
      <c r="ATZ8" s="111">
        <v>2.2000000000000002</v>
      </c>
      <c r="AUA8" s="111">
        <v>2.1</v>
      </c>
      <c r="AUB8" s="111">
        <v>1.5</v>
      </c>
      <c r="AUC8" s="111">
        <v>2</v>
      </c>
      <c r="AUD8" s="111">
        <v>3.3</v>
      </c>
      <c r="AUH8" s="93">
        <v>2.2000000000000002</v>
      </c>
      <c r="AUI8" s="93">
        <v>2.8</v>
      </c>
      <c r="AVD8" s="110" t="s">
        <v>139</v>
      </c>
      <c r="AVE8" s="111">
        <v>3.1</v>
      </c>
      <c r="AVF8" s="111">
        <v>2.2000000000000002</v>
      </c>
      <c r="AVG8" s="111">
        <v>2.1</v>
      </c>
      <c r="AVH8" s="111">
        <v>1.5</v>
      </c>
      <c r="AVI8" s="111">
        <v>2</v>
      </c>
      <c r="AVJ8" s="111">
        <v>3.3</v>
      </c>
      <c r="AVN8" s="93">
        <v>2.2000000000000002</v>
      </c>
      <c r="AVO8" s="93">
        <v>2.8</v>
      </c>
      <c r="AWJ8" s="110" t="s">
        <v>139</v>
      </c>
      <c r="AWK8" s="111">
        <v>3.1</v>
      </c>
      <c r="AWL8" s="111">
        <v>2.2000000000000002</v>
      </c>
      <c r="AWM8" s="111">
        <v>2.1</v>
      </c>
      <c r="AWN8" s="111">
        <v>1.5</v>
      </c>
      <c r="AWO8" s="111">
        <v>2</v>
      </c>
      <c r="AWP8" s="111">
        <v>3.3</v>
      </c>
      <c r="AWT8" s="93">
        <v>2.2000000000000002</v>
      </c>
      <c r="AWU8" s="93">
        <v>2.8</v>
      </c>
      <c r="AXP8" s="110" t="s">
        <v>139</v>
      </c>
      <c r="AXQ8" s="111">
        <v>3.1</v>
      </c>
      <c r="AXR8" s="111">
        <v>2.2000000000000002</v>
      </c>
      <c r="AXS8" s="111">
        <v>2.1</v>
      </c>
      <c r="AXT8" s="111">
        <v>1.5</v>
      </c>
      <c r="AXU8" s="111">
        <v>2</v>
      </c>
      <c r="AXV8" s="111">
        <v>3.3</v>
      </c>
      <c r="AXZ8" s="93">
        <v>2.2000000000000002</v>
      </c>
      <c r="AYA8" s="93">
        <v>2.8</v>
      </c>
      <c r="AYV8" s="110" t="s">
        <v>139</v>
      </c>
      <c r="AYW8" s="111">
        <v>3.1</v>
      </c>
      <c r="AYX8" s="111">
        <v>2.2000000000000002</v>
      </c>
      <c r="AYY8" s="111">
        <v>2.1</v>
      </c>
      <c r="AYZ8" s="111">
        <v>1.5</v>
      </c>
      <c r="AZA8" s="111">
        <v>2</v>
      </c>
      <c r="AZB8" s="111">
        <v>3.3</v>
      </c>
      <c r="AZF8" s="93">
        <v>2.2000000000000002</v>
      </c>
      <c r="AZG8" s="93">
        <v>2.8</v>
      </c>
      <c r="BAB8" s="110" t="s">
        <v>139</v>
      </c>
      <c r="BAC8" s="111">
        <v>3.1</v>
      </c>
      <c r="BAD8" s="111">
        <v>2.2000000000000002</v>
      </c>
      <c r="BAE8" s="111">
        <v>2.1</v>
      </c>
      <c r="BAF8" s="111">
        <v>1.5</v>
      </c>
      <c r="BAG8" s="111">
        <v>2</v>
      </c>
      <c r="BAH8" s="111">
        <v>3.3</v>
      </c>
      <c r="BAL8" s="93">
        <v>2.2000000000000002</v>
      </c>
      <c r="BAM8" s="93">
        <v>2.8</v>
      </c>
      <c r="BBH8" s="110" t="s">
        <v>139</v>
      </c>
      <c r="BBI8" s="111">
        <v>3.1</v>
      </c>
      <c r="BBJ8" s="111">
        <v>2.2000000000000002</v>
      </c>
      <c r="BBK8" s="111">
        <v>2.1</v>
      </c>
      <c r="BBL8" s="111">
        <v>1.5</v>
      </c>
      <c r="BBM8" s="111">
        <v>2</v>
      </c>
      <c r="BBN8" s="111">
        <v>3.3</v>
      </c>
      <c r="BBR8" s="93">
        <v>2.2000000000000002</v>
      </c>
      <c r="BBS8" s="93">
        <v>2.8</v>
      </c>
      <c r="BCN8" s="110" t="s">
        <v>139</v>
      </c>
      <c r="BCO8" s="111">
        <v>3.1</v>
      </c>
      <c r="BCP8" s="111">
        <v>2.2000000000000002</v>
      </c>
      <c r="BCQ8" s="111">
        <v>2.1</v>
      </c>
      <c r="BCR8" s="111">
        <v>1.5</v>
      </c>
      <c r="BCS8" s="111">
        <v>2</v>
      </c>
      <c r="BCT8" s="111">
        <v>3.3</v>
      </c>
      <c r="BCX8" s="93">
        <v>2.2000000000000002</v>
      </c>
      <c r="BCY8" s="93">
        <v>2.8</v>
      </c>
      <c r="BDT8" s="110" t="s">
        <v>139</v>
      </c>
      <c r="BDU8" s="111">
        <v>3.1</v>
      </c>
      <c r="BDV8" s="111">
        <v>2.2000000000000002</v>
      </c>
      <c r="BDW8" s="111">
        <v>2.1</v>
      </c>
      <c r="BDX8" s="111">
        <v>1.5</v>
      </c>
      <c r="BDY8" s="111">
        <v>2</v>
      </c>
      <c r="BDZ8" s="111">
        <v>3.3</v>
      </c>
      <c r="BED8" s="93">
        <v>2.2000000000000002</v>
      </c>
      <c r="BEE8" s="93">
        <v>2.8</v>
      </c>
      <c r="BEZ8" s="110" t="s">
        <v>139</v>
      </c>
      <c r="BFA8" s="111">
        <v>3.1</v>
      </c>
      <c r="BFB8" s="111">
        <v>2.2000000000000002</v>
      </c>
      <c r="BFC8" s="111">
        <v>2.1</v>
      </c>
      <c r="BFD8" s="111">
        <v>1.5</v>
      </c>
      <c r="BFE8" s="111">
        <v>2</v>
      </c>
      <c r="BFF8" s="111">
        <v>3.3</v>
      </c>
      <c r="BFJ8" s="93">
        <v>2.2000000000000002</v>
      </c>
      <c r="BFK8" s="93">
        <v>2.8</v>
      </c>
      <c r="BGF8" s="110" t="s">
        <v>139</v>
      </c>
      <c r="BGG8" s="111">
        <v>3.1</v>
      </c>
      <c r="BGH8" s="111">
        <v>2.2000000000000002</v>
      </c>
      <c r="BGI8" s="111">
        <v>2.1</v>
      </c>
      <c r="BGJ8" s="111">
        <v>1.5</v>
      </c>
      <c r="BGK8" s="111">
        <v>2</v>
      </c>
      <c r="BGL8" s="111">
        <v>3.3</v>
      </c>
      <c r="BGP8" s="93">
        <v>2.2000000000000002</v>
      </c>
      <c r="BGQ8" s="93">
        <v>2.8</v>
      </c>
      <c r="BHL8" s="110" t="s">
        <v>139</v>
      </c>
      <c r="BHM8" s="111">
        <v>3.1</v>
      </c>
      <c r="BHN8" s="111">
        <v>2.2000000000000002</v>
      </c>
      <c r="BHO8" s="111">
        <v>2.1</v>
      </c>
      <c r="BHP8" s="111">
        <v>1.5</v>
      </c>
      <c r="BHQ8" s="111">
        <v>2</v>
      </c>
      <c r="BHR8" s="111">
        <v>3.3</v>
      </c>
      <c r="BHV8" s="93">
        <v>2.2000000000000002</v>
      </c>
      <c r="BHW8" s="93">
        <v>2.8</v>
      </c>
      <c r="BIR8" s="110" t="s">
        <v>139</v>
      </c>
      <c r="BIS8" s="111">
        <v>3.1</v>
      </c>
      <c r="BIT8" s="111">
        <v>2.2000000000000002</v>
      </c>
      <c r="BIU8" s="111">
        <v>2.1</v>
      </c>
      <c r="BIV8" s="111">
        <v>1.5</v>
      </c>
      <c r="BIW8" s="111">
        <v>2</v>
      </c>
      <c r="BIX8" s="111">
        <v>3.3</v>
      </c>
      <c r="BJB8" s="93">
        <v>2.2000000000000002</v>
      </c>
      <c r="BJC8" s="93">
        <v>2.8</v>
      </c>
      <c r="BJX8" s="110" t="s">
        <v>139</v>
      </c>
      <c r="BJY8" s="111">
        <v>3.1</v>
      </c>
      <c r="BJZ8" s="111">
        <v>2.2000000000000002</v>
      </c>
      <c r="BKA8" s="111">
        <v>2.1</v>
      </c>
      <c r="BKB8" s="111">
        <v>1.5</v>
      </c>
      <c r="BKC8" s="111">
        <v>2</v>
      </c>
      <c r="BKD8" s="111">
        <v>3.3</v>
      </c>
      <c r="BKH8" s="93">
        <v>2.2000000000000002</v>
      </c>
      <c r="BKI8" s="93">
        <v>2.8</v>
      </c>
      <c r="BLD8" s="110" t="s">
        <v>139</v>
      </c>
      <c r="BLE8" s="111">
        <v>3.1</v>
      </c>
      <c r="BLF8" s="111">
        <v>2.2000000000000002</v>
      </c>
      <c r="BLG8" s="111">
        <v>2.1</v>
      </c>
      <c r="BLH8" s="111">
        <v>1.5</v>
      </c>
      <c r="BLI8" s="111">
        <v>2</v>
      </c>
      <c r="BLJ8" s="111">
        <v>3.3</v>
      </c>
      <c r="BLN8" s="93">
        <v>2.2000000000000002</v>
      </c>
      <c r="BLO8" s="93">
        <v>2.8</v>
      </c>
      <c r="BMJ8" s="110" t="s">
        <v>139</v>
      </c>
      <c r="BMK8" s="111">
        <v>3.1</v>
      </c>
      <c r="BML8" s="111">
        <v>2.2000000000000002</v>
      </c>
      <c r="BMM8" s="111">
        <v>2.1</v>
      </c>
      <c r="BMN8" s="111">
        <v>1.5</v>
      </c>
      <c r="BMO8" s="111">
        <v>2</v>
      </c>
      <c r="BMP8" s="111">
        <v>3.3</v>
      </c>
      <c r="BMT8" s="93">
        <v>2.2000000000000002</v>
      </c>
      <c r="BMU8" s="93">
        <v>2.8</v>
      </c>
      <c r="BNP8" s="110" t="s">
        <v>139</v>
      </c>
      <c r="BNQ8" s="111">
        <v>3.1</v>
      </c>
      <c r="BNR8" s="111">
        <v>2.2000000000000002</v>
      </c>
      <c r="BNS8" s="111">
        <v>2.1</v>
      </c>
      <c r="BNT8" s="111">
        <v>1.5</v>
      </c>
      <c r="BNU8" s="111">
        <v>2</v>
      </c>
      <c r="BNV8" s="111">
        <v>3.3</v>
      </c>
      <c r="BNZ8" s="93">
        <v>2.2000000000000002</v>
      </c>
      <c r="BOA8" s="93">
        <v>2.8</v>
      </c>
      <c r="BOV8" s="110" t="s">
        <v>139</v>
      </c>
      <c r="BOW8" s="111">
        <v>3.1</v>
      </c>
      <c r="BOX8" s="111">
        <v>2.2000000000000002</v>
      </c>
      <c r="BOY8" s="111">
        <v>2.1</v>
      </c>
      <c r="BOZ8" s="111">
        <v>1.5</v>
      </c>
      <c r="BPA8" s="111">
        <v>2</v>
      </c>
      <c r="BPB8" s="111">
        <v>3.3</v>
      </c>
      <c r="BPF8" s="93">
        <v>2.2000000000000002</v>
      </c>
      <c r="BPG8" s="93">
        <v>2.8</v>
      </c>
      <c r="BQB8" s="110" t="s">
        <v>139</v>
      </c>
      <c r="BQC8" s="111">
        <v>3.1</v>
      </c>
      <c r="BQD8" s="111">
        <v>2.2000000000000002</v>
      </c>
      <c r="BQE8" s="111">
        <v>2.1</v>
      </c>
      <c r="BQF8" s="111">
        <v>1.5</v>
      </c>
      <c r="BQG8" s="111">
        <v>2</v>
      </c>
      <c r="BQH8" s="111">
        <v>3.3</v>
      </c>
      <c r="BQL8" s="93">
        <v>2.2000000000000002</v>
      </c>
      <c r="BQM8" s="93">
        <v>2.8</v>
      </c>
      <c r="BRH8" s="110" t="s">
        <v>139</v>
      </c>
      <c r="BRI8" s="111">
        <v>3.1</v>
      </c>
      <c r="BRJ8" s="111">
        <v>2.2000000000000002</v>
      </c>
      <c r="BRK8" s="111">
        <v>2.1</v>
      </c>
      <c r="BRL8" s="111">
        <v>1.5</v>
      </c>
      <c r="BRM8" s="111">
        <v>2</v>
      </c>
      <c r="BRN8" s="111">
        <v>3.3</v>
      </c>
      <c r="BRR8" s="93">
        <v>2.2000000000000002</v>
      </c>
      <c r="BRS8" s="93">
        <v>2.8</v>
      </c>
      <c r="BSN8" s="110" t="s">
        <v>139</v>
      </c>
      <c r="BSO8" s="111">
        <v>3.1</v>
      </c>
      <c r="BSP8" s="111">
        <v>2.2000000000000002</v>
      </c>
      <c r="BSQ8" s="111">
        <v>2.1</v>
      </c>
      <c r="BSR8" s="111">
        <v>1.5</v>
      </c>
      <c r="BSS8" s="111">
        <v>2</v>
      </c>
      <c r="BST8" s="111">
        <v>3.3</v>
      </c>
      <c r="BSX8" s="93">
        <v>2.2000000000000002</v>
      </c>
      <c r="BSY8" s="93">
        <v>2.8</v>
      </c>
      <c r="BTT8" s="110" t="s">
        <v>139</v>
      </c>
      <c r="BTU8" s="111">
        <v>3.1</v>
      </c>
      <c r="BTV8" s="111">
        <v>2.2000000000000002</v>
      </c>
      <c r="BTW8" s="111">
        <v>2.1</v>
      </c>
      <c r="BTX8" s="111">
        <v>1.5</v>
      </c>
      <c r="BTY8" s="111">
        <v>2</v>
      </c>
      <c r="BTZ8" s="111">
        <v>3.3</v>
      </c>
      <c r="BUD8" s="93">
        <v>2.2000000000000002</v>
      </c>
      <c r="BUE8" s="93">
        <v>2.8</v>
      </c>
      <c r="BUZ8" s="110" t="s">
        <v>139</v>
      </c>
      <c r="BVA8" s="111">
        <v>3.1</v>
      </c>
      <c r="BVB8" s="111">
        <v>2.2000000000000002</v>
      </c>
      <c r="BVC8" s="111">
        <v>2.1</v>
      </c>
      <c r="BVD8" s="111">
        <v>1.5</v>
      </c>
      <c r="BVE8" s="111">
        <v>2</v>
      </c>
      <c r="BVF8" s="111">
        <v>3.3</v>
      </c>
      <c r="BVJ8" s="93">
        <v>2.2000000000000002</v>
      </c>
      <c r="BVK8" s="93">
        <v>2.8</v>
      </c>
      <c r="BWF8" s="110" t="s">
        <v>139</v>
      </c>
      <c r="BWG8" s="111">
        <v>3.1</v>
      </c>
      <c r="BWH8" s="111">
        <v>2.2000000000000002</v>
      </c>
      <c r="BWI8" s="111">
        <v>2.1</v>
      </c>
      <c r="BWJ8" s="111">
        <v>1.5</v>
      </c>
      <c r="BWK8" s="111">
        <v>2</v>
      </c>
      <c r="BWL8" s="111">
        <v>3.3</v>
      </c>
      <c r="BWP8" s="93">
        <v>2.2000000000000002</v>
      </c>
      <c r="BWQ8" s="93">
        <v>2.8</v>
      </c>
      <c r="BXL8" s="110" t="s">
        <v>139</v>
      </c>
      <c r="BXM8" s="111">
        <v>3.1</v>
      </c>
      <c r="BXN8" s="111">
        <v>2.2000000000000002</v>
      </c>
      <c r="BXO8" s="111">
        <v>2.1</v>
      </c>
      <c r="BXP8" s="111">
        <v>1.5</v>
      </c>
      <c r="BXQ8" s="111">
        <v>2</v>
      </c>
      <c r="BXR8" s="111">
        <v>3.3</v>
      </c>
      <c r="BXV8" s="93">
        <v>2.2000000000000002</v>
      </c>
      <c r="BXW8" s="93">
        <v>2.8</v>
      </c>
      <c r="BYR8" s="110" t="s">
        <v>139</v>
      </c>
      <c r="BYS8" s="111">
        <v>3.1</v>
      </c>
      <c r="BYT8" s="111">
        <v>2.2000000000000002</v>
      </c>
      <c r="BYU8" s="111">
        <v>2.1</v>
      </c>
      <c r="BYV8" s="111">
        <v>1.5</v>
      </c>
      <c r="BYW8" s="111">
        <v>2</v>
      </c>
      <c r="BYX8" s="111">
        <v>3.3</v>
      </c>
      <c r="BZB8" s="93">
        <v>2.2000000000000002</v>
      </c>
      <c r="BZC8" s="93">
        <v>2.8</v>
      </c>
      <c r="BZX8" s="110" t="s">
        <v>139</v>
      </c>
      <c r="BZY8" s="111">
        <v>3.1</v>
      </c>
      <c r="BZZ8" s="111">
        <v>2.2000000000000002</v>
      </c>
      <c r="CAA8" s="111">
        <v>2.1</v>
      </c>
      <c r="CAB8" s="111">
        <v>1.5</v>
      </c>
      <c r="CAC8" s="111">
        <v>2</v>
      </c>
      <c r="CAD8" s="111">
        <v>3.3</v>
      </c>
      <c r="CAH8" s="93">
        <v>2.2000000000000002</v>
      </c>
      <c r="CAI8" s="93">
        <v>2.8</v>
      </c>
      <c r="CBD8" s="110" t="s">
        <v>139</v>
      </c>
      <c r="CBE8" s="111">
        <v>3.1</v>
      </c>
      <c r="CBF8" s="111">
        <v>2.2000000000000002</v>
      </c>
      <c r="CBG8" s="111">
        <v>2.1</v>
      </c>
      <c r="CBH8" s="111">
        <v>1.5</v>
      </c>
      <c r="CBI8" s="111">
        <v>2</v>
      </c>
      <c r="CBJ8" s="111">
        <v>3.3</v>
      </c>
      <c r="CBN8" s="93">
        <v>2.2000000000000002</v>
      </c>
      <c r="CBO8" s="93">
        <v>2.8</v>
      </c>
      <c r="CCJ8" s="110" t="s">
        <v>139</v>
      </c>
      <c r="CCK8" s="111">
        <v>3.1</v>
      </c>
      <c r="CCL8" s="111">
        <v>2.2000000000000002</v>
      </c>
      <c r="CCM8" s="111">
        <v>2.1</v>
      </c>
      <c r="CCN8" s="111">
        <v>1.5</v>
      </c>
      <c r="CCO8" s="111">
        <v>2</v>
      </c>
      <c r="CCP8" s="111">
        <v>3.3</v>
      </c>
      <c r="CCT8" s="93">
        <v>2.2000000000000002</v>
      </c>
      <c r="CCU8" s="93">
        <v>2.8</v>
      </c>
      <c r="CDP8" s="110" t="s">
        <v>139</v>
      </c>
      <c r="CDQ8" s="111">
        <v>3.1</v>
      </c>
      <c r="CDR8" s="111">
        <v>2.2000000000000002</v>
      </c>
      <c r="CDS8" s="111">
        <v>2.1</v>
      </c>
      <c r="CDT8" s="111">
        <v>1.5</v>
      </c>
      <c r="CDU8" s="111">
        <v>2</v>
      </c>
      <c r="CDV8" s="111">
        <v>3.3</v>
      </c>
      <c r="CDZ8" s="93">
        <v>2.2000000000000002</v>
      </c>
      <c r="CEA8" s="93">
        <v>2.8</v>
      </c>
      <c r="CEV8" s="110" t="s">
        <v>139</v>
      </c>
      <c r="CEW8" s="111">
        <v>3.1</v>
      </c>
      <c r="CEX8" s="111">
        <v>2.2000000000000002</v>
      </c>
      <c r="CEY8" s="111">
        <v>2.1</v>
      </c>
      <c r="CEZ8" s="111">
        <v>1.5</v>
      </c>
      <c r="CFA8" s="111">
        <v>2</v>
      </c>
      <c r="CFB8" s="111">
        <v>3.3</v>
      </c>
      <c r="CFF8" s="93">
        <v>2.2000000000000002</v>
      </c>
      <c r="CFG8" s="93">
        <v>2.8</v>
      </c>
      <c r="CGB8" s="110" t="s">
        <v>139</v>
      </c>
      <c r="CGC8" s="111">
        <v>3.1</v>
      </c>
      <c r="CGD8" s="111">
        <v>2.2000000000000002</v>
      </c>
      <c r="CGE8" s="111">
        <v>2.1</v>
      </c>
      <c r="CGF8" s="111">
        <v>1.5</v>
      </c>
      <c r="CGG8" s="111">
        <v>2</v>
      </c>
      <c r="CGH8" s="111">
        <v>3.3</v>
      </c>
      <c r="CGL8" s="93">
        <v>2.2000000000000002</v>
      </c>
      <c r="CGM8" s="93">
        <v>2.8</v>
      </c>
      <c r="CHH8" s="110" t="s">
        <v>139</v>
      </c>
      <c r="CHI8" s="111">
        <v>3.1</v>
      </c>
      <c r="CHJ8" s="111">
        <v>2.2000000000000002</v>
      </c>
      <c r="CHK8" s="111">
        <v>2.1</v>
      </c>
      <c r="CHL8" s="111">
        <v>1.5</v>
      </c>
      <c r="CHM8" s="111">
        <v>2</v>
      </c>
      <c r="CHN8" s="111">
        <v>3.3</v>
      </c>
      <c r="CHR8" s="93">
        <v>2.2000000000000002</v>
      </c>
      <c r="CHS8" s="93">
        <v>2.8</v>
      </c>
      <c r="CIN8" s="110" t="s">
        <v>139</v>
      </c>
      <c r="CIO8" s="111">
        <v>3.1</v>
      </c>
      <c r="CIP8" s="111">
        <v>2.2000000000000002</v>
      </c>
      <c r="CIQ8" s="111">
        <v>2.1</v>
      </c>
      <c r="CIR8" s="111">
        <v>1.5</v>
      </c>
      <c r="CIS8" s="111">
        <v>2</v>
      </c>
      <c r="CIT8" s="111">
        <v>3.3</v>
      </c>
      <c r="CIX8" s="93">
        <v>2.2000000000000002</v>
      </c>
      <c r="CIY8" s="93">
        <v>2.8</v>
      </c>
      <c r="CJT8" s="110" t="s">
        <v>139</v>
      </c>
      <c r="CJU8" s="111">
        <v>3.1</v>
      </c>
      <c r="CJV8" s="111">
        <v>2.2000000000000002</v>
      </c>
      <c r="CJW8" s="111">
        <v>2.1</v>
      </c>
      <c r="CJX8" s="111">
        <v>1.5</v>
      </c>
      <c r="CJY8" s="111">
        <v>2</v>
      </c>
      <c r="CJZ8" s="111">
        <v>3.3</v>
      </c>
      <c r="CKD8" s="93">
        <v>2.2000000000000002</v>
      </c>
      <c r="CKE8" s="93">
        <v>2.8</v>
      </c>
      <c r="CKZ8" s="110" t="s">
        <v>139</v>
      </c>
      <c r="CLA8" s="111">
        <v>3.1</v>
      </c>
      <c r="CLB8" s="111">
        <v>2.2000000000000002</v>
      </c>
      <c r="CLC8" s="111">
        <v>2.1</v>
      </c>
      <c r="CLD8" s="111">
        <v>1.5</v>
      </c>
      <c r="CLE8" s="111">
        <v>2</v>
      </c>
      <c r="CLF8" s="111">
        <v>3.3</v>
      </c>
      <c r="CLJ8" s="93">
        <v>2.2000000000000002</v>
      </c>
      <c r="CLK8" s="93">
        <v>2.8</v>
      </c>
      <c r="CMF8" s="110" t="s">
        <v>139</v>
      </c>
      <c r="CMG8" s="111">
        <v>3.1</v>
      </c>
      <c r="CMH8" s="111">
        <v>2.2000000000000002</v>
      </c>
      <c r="CMI8" s="111">
        <v>2.1</v>
      </c>
      <c r="CMJ8" s="111">
        <v>1.5</v>
      </c>
      <c r="CMK8" s="111">
        <v>2</v>
      </c>
      <c r="CML8" s="111">
        <v>3.3</v>
      </c>
      <c r="CMP8" s="93">
        <v>2.2000000000000002</v>
      </c>
      <c r="CMQ8" s="93">
        <v>2.8</v>
      </c>
      <c r="CNL8" s="110" t="s">
        <v>139</v>
      </c>
      <c r="CNM8" s="111">
        <v>3.1</v>
      </c>
      <c r="CNN8" s="111">
        <v>2.2000000000000002</v>
      </c>
      <c r="CNO8" s="111">
        <v>2.1</v>
      </c>
      <c r="CNP8" s="111">
        <v>1.5</v>
      </c>
      <c r="CNQ8" s="111">
        <v>2</v>
      </c>
      <c r="CNR8" s="111">
        <v>3.3</v>
      </c>
      <c r="CNV8" s="93">
        <v>2.2000000000000002</v>
      </c>
      <c r="CNW8" s="93">
        <v>2.8</v>
      </c>
      <c r="COR8" s="110" t="s">
        <v>139</v>
      </c>
      <c r="COS8" s="111">
        <v>3.1</v>
      </c>
      <c r="COT8" s="111">
        <v>2.2000000000000002</v>
      </c>
      <c r="COU8" s="111">
        <v>2.1</v>
      </c>
      <c r="COV8" s="111">
        <v>1.5</v>
      </c>
      <c r="COW8" s="111">
        <v>2</v>
      </c>
      <c r="COX8" s="111">
        <v>3.3</v>
      </c>
      <c r="CPB8" s="93">
        <v>2.2000000000000002</v>
      </c>
      <c r="CPC8" s="93">
        <v>2.8</v>
      </c>
      <c r="CPX8" s="110" t="s">
        <v>139</v>
      </c>
      <c r="CPY8" s="111">
        <v>3.1</v>
      </c>
      <c r="CPZ8" s="111">
        <v>2.2000000000000002</v>
      </c>
      <c r="CQA8" s="111">
        <v>2.1</v>
      </c>
      <c r="CQB8" s="111">
        <v>1.5</v>
      </c>
      <c r="CQC8" s="111">
        <v>2</v>
      </c>
      <c r="CQD8" s="111">
        <v>3.3</v>
      </c>
      <c r="CQH8" s="93">
        <v>2.2000000000000002</v>
      </c>
      <c r="CQI8" s="93">
        <v>2.8</v>
      </c>
      <c r="CRD8" s="110" t="s">
        <v>139</v>
      </c>
      <c r="CRE8" s="111">
        <v>3.1</v>
      </c>
      <c r="CRF8" s="111">
        <v>2.2000000000000002</v>
      </c>
      <c r="CRG8" s="111">
        <v>2.1</v>
      </c>
      <c r="CRH8" s="111">
        <v>1.5</v>
      </c>
      <c r="CRI8" s="111">
        <v>2</v>
      </c>
      <c r="CRJ8" s="111">
        <v>3.3</v>
      </c>
      <c r="CRN8" s="93">
        <v>2.2000000000000002</v>
      </c>
      <c r="CRO8" s="93">
        <v>2.8</v>
      </c>
      <c r="CSJ8" s="110" t="s">
        <v>139</v>
      </c>
      <c r="CSK8" s="111">
        <v>3.1</v>
      </c>
      <c r="CSL8" s="111">
        <v>2.2000000000000002</v>
      </c>
      <c r="CSM8" s="111">
        <v>2.1</v>
      </c>
      <c r="CSN8" s="111">
        <v>1.5</v>
      </c>
      <c r="CSO8" s="111">
        <v>2</v>
      </c>
      <c r="CSP8" s="111">
        <v>3.3</v>
      </c>
      <c r="CST8" s="93">
        <v>2.2000000000000002</v>
      </c>
      <c r="CSU8" s="93">
        <v>2.8</v>
      </c>
      <c r="CTP8" s="110" t="s">
        <v>139</v>
      </c>
      <c r="CTQ8" s="111">
        <v>3.1</v>
      </c>
      <c r="CTR8" s="111">
        <v>2.2000000000000002</v>
      </c>
      <c r="CTS8" s="111">
        <v>2.1</v>
      </c>
      <c r="CTT8" s="111">
        <v>1.5</v>
      </c>
      <c r="CTU8" s="111">
        <v>2</v>
      </c>
      <c r="CTV8" s="111">
        <v>3.3</v>
      </c>
      <c r="CTZ8" s="93">
        <v>2.2000000000000002</v>
      </c>
      <c r="CUA8" s="93">
        <v>2.8</v>
      </c>
      <c r="CUV8" s="110" t="s">
        <v>139</v>
      </c>
      <c r="CUW8" s="111">
        <v>3.1</v>
      </c>
      <c r="CUX8" s="111">
        <v>2.2000000000000002</v>
      </c>
      <c r="CUY8" s="111">
        <v>2.1</v>
      </c>
      <c r="CUZ8" s="111">
        <v>1.5</v>
      </c>
      <c r="CVA8" s="111">
        <v>2</v>
      </c>
      <c r="CVB8" s="111">
        <v>3.3</v>
      </c>
      <c r="CVF8" s="93">
        <v>2.2000000000000002</v>
      </c>
      <c r="CVG8" s="93">
        <v>2.8</v>
      </c>
      <c r="CWB8" s="110" t="s">
        <v>139</v>
      </c>
      <c r="CWC8" s="111">
        <v>3.1</v>
      </c>
      <c r="CWD8" s="111">
        <v>2.2000000000000002</v>
      </c>
      <c r="CWE8" s="111">
        <v>2.1</v>
      </c>
      <c r="CWF8" s="111">
        <v>1.5</v>
      </c>
      <c r="CWG8" s="111">
        <v>2</v>
      </c>
      <c r="CWH8" s="111">
        <v>3.3</v>
      </c>
      <c r="CWL8" s="93">
        <v>2.2000000000000002</v>
      </c>
      <c r="CWM8" s="93">
        <v>2.8</v>
      </c>
      <c r="CXH8" s="110" t="s">
        <v>139</v>
      </c>
      <c r="CXI8" s="111">
        <v>3.1</v>
      </c>
      <c r="CXJ8" s="111">
        <v>2.2000000000000002</v>
      </c>
      <c r="CXK8" s="111">
        <v>2.1</v>
      </c>
      <c r="CXL8" s="111">
        <v>1.5</v>
      </c>
      <c r="CXM8" s="111">
        <v>2</v>
      </c>
      <c r="CXN8" s="111">
        <v>3.3</v>
      </c>
      <c r="CXR8" s="93">
        <v>2.2000000000000002</v>
      </c>
      <c r="CXS8" s="93">
        <v>2.8</v>
      </c>
      <c r="CYN8" s="110" t="s">
        <v>139</v>
      </c>
      <c r="CYO8" s="111">
        <v>3.1</v>
      </c>
      <c r="CYP8" s="111">
        <v>2.2000000000000002</v>
      </c>
      <c r="CYQ8" s="111">
        <v>2.1</v>
      </c>
      <c r="CYR8" s="111">
        <v>1.5</v>
      </c>
      <c r="CYS8" s="111">
        <v>2</v>
      </c>
      <c r="CYT8" s="111">
        <v>3.3</v>
      </c>
      <c r="CYX8" s="93">
        <v>2.2000000000000002</v>
      </c>
      <c r="CYY8" s="93">
        <v>2.8</v>
      </c>
      <c r="CZT8" s="110" t="s">
        <v>139</v>
      </c>
      <c r="CZU8" s="111">
        <v>3.1</v>
      </c>
      <c r="CZV8" s="111">
        <v>2.2000000000000002</v>
      </c>
      <c r="CZW8" s="111">
        <v>2.1</v>
      </c>
      <c r="CZX8" s="111">
        <v>1.5</v>
      </c>
      <c r="CZY8" s="111">
        <v>2</v>
      </c>
      <c r="CZZ8" s="111">
        <v>3.3</v>
      </c>
      <c r="DAD8" s="93">
        <v>2.2000000000000002</v>
      </c>
      <c r="DAE8" s="93">
        <v>2.8</v>
      </c>
      <c r="DAZ8" s="110" t="s">
        <v>139</v>
      </c>
      <c r="DBA8" s="111">
        <v>3.1</v>
      </c>
      <c r="DBB8" s="111">
        <v>2.2000000000000002</v>
      </c>
      <c r="DBC8" s="111">
        <v>2.1</v>
      </c>
      <c r="DBD8" s="111">
        <v>1.5</v>
      </c>
      <c r="DBE8" s="111">
        <v>2</v>
      </c>
      <c r="DBF8" s="111">
        <v>3.3</v>
      </c>
      <c r="DBJ8" s="93">
        <v>2.2000000000000002</v>
      </c>
      <c r="DBK8" s="93">
        <v>2.8</v>
      </c>
      <c r="DCF8" s="110" t="s">
        <v>139</v>
      </c>
      <c r="DCG8" s="111">
        <v>3.1</v>
      </c>
      <c r="DCH8" s="111">
        <v>2.2000000000000002</v>
      </c>
      <c r="DCI8" s="111">
        <v>2.1</v>
      </c>
      <c r="DCJ8" s="111">
        <v>1.5</v>
      </c>
      <c r="DCK8" s="111">
        <v>2</v>
      </c>
      <c r="DCL8" s="111">
        <v>3.3</v>
      </c>
      <c r="DCP8" s="93">
        <v>2.2000000000000002</v>
      </c>
      <c r="DCQ8" s="93">
        <v>2.8</v>
      </c>
      <c r="DDL8" s="110" t="s">
        <v>139</v>
      </c>
      <c r="DDM8" s="111">
        <v>3.1</v>
      </c>
      <c r="DDN8" s="111">
        <v>2.2000000000000002</v>
      </c>
      <c r="DDO8" s="111">
        <v>2.1</v>
      </c>
      <c r="DDP8" s="111">
        <v>1.5</v>
      </c>
      <c r="DDQ8" s="111">
        <v>2</v>
      </c>
      <c r="DDR8" s="111">
        <v>3.3</v>
      </c>
      <c r="DDV8" s="93">
        <v>2.2000000000000002</v>
      </c>
      <c r="DDW8" s="93">
        <v>2.8</v>
      </c>
      <c r="DER8" s="110" t="s">
        <v>139</v>
      </c>
      <c r="DES8" s="111">
        <v>3.1</v>
      </c>
      <c r="DET8" s="111">
        <v>2.2000000000000002</v>
      </c>
      <c r="DEU8" s="111">
        <v>2.1</v>
      </c>
      <c r="DEV8" s="111">
        <v>1.5</v>
      </c>
      <c r="DEW8" s="111">
        <v>2</v>
      </c>
      <c r="DEX8" s="111">
        <v>3.3</v>
      </c>
      <c r="DFB8" s="93">
        <v>2.2000000000000002</v>
      </c>
      <c r="DFC8" s="93">
        <v>2.8</v>
      </c>
      <c r="DFX8" s="110" t="s">
        <v>139</v>
      </c>
      <c r="DFY8" s="111">
        <v>3.1</v>
      </c>
      <c r="DFZ8" s="111">
        <v>2.2000000000000002</v>
      </c>
      <c r="DGA8" s="111">
        <v>2.1</v>
      </c>
      <c r="DGB8" s="111">
        <v>1.5</v>
      </c>
      <c r="DGC8" s="111">
        <v>2</v>
      </c>
      <c r="DGD8" s="111">
        <v>3.3</v>
      </c>
      <c r="DGH8" s="93">
        <v>2.2000000000000002</v>
      </c>
      <c r="DGI8" s="93">
        <v>2.8</v>
      </c>
      <c r="DHD8" s="110" t="s">
        <v>139</v>
      </c>
      <c r="DHE8" s="111">
        <v>3.1</v>
      </c>
      <c r="DHF8" s="111">
        <v>2.2000000000000002</v>
      </c>
      <c r="DHG8" s="111">
        <v>2.1</v>
      </c>
      <c r="DHH8" s="111">
        <v>1.5</v>
      </c>
      <c r="DHI8" s="111">
        <v>2</v>
      </c>
      <c r="DHJ8" s="111">
        <v>3.3</v>
      </c>
      <c r="DHN8" s="93">
        <v>2.2000000000000002</v>
      </c>
      <c r="DHO8" s="93">
        <v>2.8</v>
      </c>
      <c r="DIJ8" s="110" t="s">
        <v>139</v>
      </c>
      <c r="DIK8" s="111">
        <v>3.1</v>
      </c>
      <c r="DIL8" s="111">
        <v>2.2000000000000002</v>
      </c>
      <c r="DIM8" s="111">
        <v>2.1</v>
      </c>
      <c r="DIN8" s="111">
        <v>1.5</v>
      </c>
      <c r="DIO8" s="111">
        <v>2</v>
      </c>
      <c r="DIP8" s="111">
        <v>3.3</v>
      </c>
      <c r="DIT8" s="93">
        <v>2.2000000000000002</v>
      </c>
      <c r="DIU8" s="93">
        <v>2.8</v>
      </c>
      <c r="DJP8" s="110" t="s">
        <v>139</v>
      </c>
      <c r="DJQ8" s="111">
        <v>3.1</v>
      </c>
      <c r="DJR8" s="111">
        <v>2.2000000000000002</v>
      </c>
      <c r="DJS8" s="111">
        <v>2.1</v>
      </c>
      <c r="DJT8" s="111">
        <v>1.5</v>
      </c>
      <c r="DJU8" s="111">
        <v>2</v>
      </c>
      <c r="DJV8" s="111">
        <v>3.3</v>
      </c>
      <c r="DJZ8" s="93">
        <v>2.2000000000000002</v>
      </c>
      <c r="DKA8" s="93">
        <v>2.8</v>
      </c>
      <c r="DKV8" s="110" t="s">
        <v>139</v>
      </c>
      <c r="DKW8" s="111">
        <v>3.1</v>
      </c>
      <c r="DKX8" s="111">
        <v>2.2000000000000002</v>
      </c>
      <c r="DKY8" s="111">
        <v>2.1</v>
      </c>
      <c r="DKZ8" s="111">
        <v>1.5</v>
      </c>
      <c r="DLA8" s="111">
        <v>2</v>
      </c>
      <c r="DLB8" s="111">
        <v>3.3</v>
      </c>
      <c r="DLF8" s="93">
        <v>2.2000000000000002</v>
      </c>
      <c r="DLG8" s="93">
        <v>2.8</v>
      </c>
      <c r="DMB8" s="110" t="s">
        <v>139</v>
      </c>
      <c r="DMC8" s="111">
        <v>3.1</v>
      </c>
      <c r="DMD8" s="111">
        <v>2.2000000000000002</v>
      </c>
      <c r="DME8" s="111">
        <v>2.1</v>
      </c>
      <c r="DMF8" s="111">
        <v>1.5</v>
      </c>
      <c r="DMG8" s="111">
        <v>2</v>
      </c>
      <c r="DMH8" s="111">
        <v>3.3</v>
      </c>
      <c r="DML8" s="93">
        <v>2.2000000000000002</v>
      </c>
      <c r="DMM8" s="93">
        <v>2.8</v>
      </c>
      <c r="DNH8" s="110" t="s">
        <v>139</v>
      </c>
      <c r="DNI8" s="111">
        <v>3.1</v>
      </c>
      <c r="DNJ8" s="111">
        <v>2.2000000000000002</v>
      </c>
      <c r="DNK8" s="111">
        <v>2.1</v>
      </c>
      <c r="DNL8" s="111">
        <v>1.5</v>
      </c>
      <c r="DNM8" s="111">
        <v>2</v>
      </c>
      <c r="DNN8" s="111">
        <v>3.3</v>
      </c>
      <c r="DNR8" s="93">
        <v>2.2000000000000002</v>
      </c>
      <c r="DNS8" s="93">
        <v>2.8</v>
      </c>
      <c r="DON8" s="110" t="s">
        <v>139</v>
      </c>
      <c r="DOO8" s="111">
        <v>3.1</v>
      </c>
      <c r="DOP8" s="111">
        <v>2.2000000000000002</v>
      </c>
      <c r="DOQ8" s="111">
        <v>2.1</v>
      </c>
      <c r="DOR8" s="111">
        <v>1.5</v>
      </c>
      <c r="DOS8" s="111">
        <v>2</v>
      </c>
      <c r="DOT8" s="111">
        <v>3.3</v>
      </c>
      <c r="DOX8" s="93">
        <v>2.2000000000000002</v>
      </c>
      <c r="DOY8" s="93">
        <v>2.8</v>
      </c>
      <c r="DPT8" s="110" t="s">
        <v>139</v>
      </c>
      <c r="DPU8" s="111">
        <v>3.1</v>
      </c>
      <c r="DPV8" s="111">
        <v>2.2000000000000002</v>
      </c>
      <c r="DPW8" s="111">
        <v>2.1</v>
      </c>
      <c r="DPX8" s="111">
        <v>1.5</v>
      </c>
      <c r="DPY8" s="111">
        <v>2</v>
      </c>
      <c r="DPZ8" s="111">
        <v>3.3</v>
      </c>
      <c r="DQD8" s="93">
        <v>2.2000000000000002</v>
      </c>
      <c r="DQE8" s="93">
        <v>2.8</v>
      </c>
      <c r="DQZ8" s="110" t="s">
        <v>139</v>
      </c>
      <c r="DRA8" s="111">
        <v>3.1</v>
      </c>
      <c r="DRB8" s="111">
        <v>2.2000000000000002</v>
      </c>
      <c r="DRC8" s="111">
        <v>2.1</v>
      </c>
      <c r="DRD8" s="111">
        <v>1.5</v>
      </c>
      <c r="DRE8" s="111">
        <v>2</v>
      </c>
      <c r="DRF8" s="111">
        <v>3.3</v>
      </c>
      <c r="DRJ8" s="93">
        <v>2.2000000000000002</v>
      </c>
      <c r="DRK8" s="93">
        <v>2.8</v>
      </c>
      <c r="DSF8" s="110" t="s">
        <v>139</v>
      </c>
      <c r="DSG8" s="111">
        <v>3.1</v>
      </c>
      <c r="DSH8" s="111">
        <v>2.2000000000000002</v>
      </c>
      <c r="DSI8" s="111">
        <v>2.1</v>
      </c>
      <c r="DSJ8" s="111">
        <v>1.5</v>
      </c>
      <c r="DSK8" s="111">
        <v>2</v>
      </c>
      <c r="DSL8" s="111">
        <v>3.3</v>
      </c>
      <c r="DSP8" s="93">
        <v>2.2000000000000002</v>
      </c>
      <c r="DSQ8" s="93">
        <v>2.8</v>
      </c>
      <c r="DTL8" s="110" t="s">
        <v>139</v>
      </c>
      <c r="DTM8" s="111">
        <v>3.1</v>
      </c>
      <c r="DTN8" s="111">
        <v>2.2000000000000002</v>
      </c>
      <c r="DTO8" s="111">
        <v>2.1</v>
      </c>
      <c r="DTP8" s="111">
        <v>1.5</v>
      </c>
      <c r="DTQ8" s="111">
        <v>2</v>
      </c>
      <c r="DTR8" s="111">
        <v>3.3</v>
      </c>
      <c r="DTV8" s="93">
        <v>2.2000000000000002</v>
      </c>
      <c r="DTW8" s="93">
        <v>2.8</v>
      </c>
      <c r="DUR8" s="110" t="s">
        <v>139</v>
      </c>
      <c r="DUS8" s="111">
        <v>3.1</v>
      </c>
      <c r="DUT8" s="111">
        <v>2.2000000000000002</v>
      </c>
      <c r="DUU8" s="111">
        <v>2.1</v>
      </c>
      <c r="DUV8" s="111">
        <v>1.5</v>
      </c>
      <c r="DUW8" s="111">
        <v>2</v>
      </c>
      <c r="DUX8" s="111">
        <v>3.3</v>
      </c>
      <c r="DVB8" s="93">
        <v>2.2000000000000002</v>
      </c>
      <c r="DVC8" s="93">
        <v>2.8</v>
      </c>
      <c r="DVX8" s="110" t="s">
        <v>139</v>
      </c>
      <c r="DVY8" s="111">
        <v>3.1</v>
      </c>
      <c r="DVZ8" s="111">
        <v>2.2000000000000002</v>
      </c>
      <c r="DWA8" s="111">
        <v>2.1</v>
      </c>
      <c r="DWB8" s="111">
        <v>1.5</v>
      </c>
      <c r="DWC8" s="111">
        <v>2</v>
      </c>
      <c r="DWD8" s="111">
        <v>3.3</v>
      </c>
      <c r="DWH8" s="93">
        <v>2.2000000000000002</v>
      </c>
      <c r="DWI8" s="93">
        <v>2.8</v>
      </c>
      <c r="DXD8" s="110" t="s">
        <v>139</v>
      </c>
      <c r="DXE8" s="111">
        <v>3.1</v>
      </c>
      <c r="DXF8" s="111">
        <v>2.2000000000000002</v>
      </c>
      <c r="DXG8" s="111">
        <v>2.1</v>
      </c>
      <c r="DXH8" s="111">
        <v>1.5</v>
      </c>
      <c r="DXI8" s="111">
        <v>2</v>
      </c>
      <c r="DXJ8" s="111">
        <v>3.3</v>
      </c>
      <c r="DXN8" s="93">
        <v>2.2000000000000002</v>
      </c>
      <c r="DXO8" s="93">
        <v>2.8</v>
      </c>
      <c r="DYJ8" s="110" t="s">
        <v>139</v>
      </c>
      <c r="DYK8" s="111">
        <v>3.1</v>
      </c>
      <c r="DYL8" s="111">
        <v>2.2000000000000002</v>
      </c>
      <c r="DYM8" s="111">
        <v>2.1</v>
      </c>
      <c r="DYN8" s="111">
        <v>1.5</v>
      </c>
      <c r="DYO8" s="111">
        <v>2</v>
      </c>
      <c r="DYP8" s="111">
        <v>3.3</v>
      </c>
      <c r="DYT8" s="93">
        <v>2.2000000000000002</v>
      </c>
      <c r="DYU8" s="93">
        <v>2.8</v>
      </c>
      <c r="DZP8" s="110" t="s">
        <v>139</v>
      </c>
      <c r="DZQ8" s="111">
        <v>3.1</v>
      </c>
      <c r="DZR8" s="111">
        <v>2.2000000000000002</v>
      </c>
      <c r="DZS8" s="111">
        <v>2.1</v>
      </c>
      <c r="DZT8" s="111">
        <v>1.5</v>
      </c>
      <c r="DZU8" s="111">
        <v>2</v>
      </c>
      <c r="DZV8" s="111">
        <v>3.3</v>
      </c>
      <c r="DZZ8" s="93">
        <v>2.2000000000000002</v>
      </c>
      <c r="EAA8" s="93">
        <v>2.8</v>
      </c>
      <c r="EAV8" s="110" t="s">
        <v>139</v>
      </c>
      <c r="EAW8" s="111">
        <v>3.1</v>
      </c>
      <c r="EAX8" s="111">
        <v>2.2000000000000002</v>
      </c>
      <c r="EAY8" s="111">
        <v>2.1</v>
      </c>
      <c r="EAZ8" s="111">
        <v>1.5</v>
      </c>
      <c r="EBA8" s="111">
        <v>2</v>
      </c>
      <c r="EBB8" s="111">
        <v>3.3</v>
      </c>
      <c r="EBF8" s="93">
        <v>2.2000000000000002</v>
      </c>
      <c r="EBG8" s="93">
        <v>2.8</v>
      </c>
      <c r="ECB8" s="110" t="s">
        <v>139</v>
      </c>
      <c r="ECC8" s="111">
        <v>3.1</v>
      </c>
      <c r="ECD8" s="111">
        <v>2.2000000000000002</v>
      </c>
      <c r="ECE8" s="111">
        <v>2.1</v>
      </c>
      <c r="ECF8" s="111">
        <v>1.5</v>
      </c>
      <c r="ECG8" s="111">
        <v>2</v>
      </c>
      <c r="ECH8" s="111">
        <v>3.3</v>
      </c>
      <c r="ECL8" s="93">
        <v>2.2000000000000002</v>
      </c>
      <c r="ECM8" s="93">
        <v>2.8</v>
      </c>
      <c r="EDH8" s="110" t="s">
        <v>139</v>
      </c>
      <c r="EDI8" s="111">
        <v>3.1</v>
      </c>
      <c r="EDJ8" s="111">
        <v>2.2000000000000002</v>
      </c>
      <c r="EDK8" s="111">
        <v>2.1</v>
      </c>
      <c r="EDL8" s="111">
        <v>1.5</v>
      </c>
      <c r="EDM8" s="111">
        <v>2</v>
      </c>
      <c r="EDN8" s="111">
        <v>3.3</v>
      </c>
      <c r="EDR8" s="93">
        <v>2.2000000000000002</v>
      </c>
      <c r="EDS8" s="93">
        <v>2.8</v>
      </c>
      <c r="EEN8" s="110" t="s">
        <v>139</v>
      </c>
      <c r="EEO8" s="111">
        <v>3.1</v>
      </c>
      <c r="EEP8" s="111">
        <v>2.2000000000000002</v>
      </c>
      <c r="EEQ8" s="111">
        <v>2.1</v>
      </c>
      <c r="EER8" s="111">
        <v>1.5</v>
      </c>
      <c r="EES8" s="111">
        <v>2</v>
      </c>
      <c r="EET8" s="111">
        <v>3.3</v>
      </c>
      <c r="EEX8" s="93">
        <v>2.2000000000000002</v>
      </c>
      <c r="EEY8" s="93">
        <v>2.8</v>
      </c>
      <c r="EFT8" s="110" t="s">
        <v>139</v>
      </c>
      <c r="EFU8" s="111">
        <v>3.1</v>
      </c>
      <c r="EFV8" s="111">
        <v>2.2000000000000002</v>
      </c>
      <c r="EFW8" s="111">
        <v>2.1</v>
      </c>
      <c r="EFX8" s="111">
        <v>1.5</v>
      </c>
      <c r="EFY8" s="111">
        <v>2</v>
      </c>
      <c r="EFZ8" s="111">
        <v>3.3</v>
      </c>
      <c r="EGD8" s="93">
        <v>2.2000000000000002</v>
      </c>
      <c r="EGE8" s="93">
        <v>2.8</v>
      </c>
      <c r="EGZ8" s="110" t="s">
        <v>139</v>
      </c>
      <c r="EHA8" s="111">
        <v>3.1</v>
      </c>
      <c r="EHB8" s="111">
        <v>2.2000000000000002</v>
      </c>
      <c r="EHC8" s="111">
        <v>2.1</v>
      </c>
      <c r="EHD8" s="111">
        <v>1.5</v>
      </c>
      <c r="EHE8" s="111">
        <v>2</v>
      </c>
      <c r="EHF8" s="111">
        <v>3.3</v>
      </c>
      <c r="EHJ8" s="93">
        <v>2.2000000000000002</v>
      </c>
      <c r="EHK8" s="93">
        <v>2.8</v>
      </c>
      <c r="EIF8" s="110" t="s">
        <v>139</v>
      </c>
      <c r="EIG8" s="111">
        <v>3.1</v>
      </c>
      <c r="EIH8" s="111">
        <v>2.2000000000000002</v>
      </c>
      <c r="EII8" s="111">
        <v>2.1</v>
      </c>
      <c r="EIJ8" s="111">
        <v>1.5</v>
      </c>
      <c r="EIK8" s="111">
        <v>2</v>
      </c>
      <c r="EIL8" s="111">
        <v>3.3</v>
      </c>
      <c r="EIP8" s="93">
        <v>2.2000000000000002</v>
      </c>
      <c r="EIQ8" s="93">
        <v>2.8</v>
      </c>
      <c r="EJL8" s="110" t="s">
        <v>139</v>
      </c>
      <c r="EJM8" s="111">
        <v>3.1</v>
      </c>
      <c r="EJN8" s="111">
        <v>2.2000000000000002</v>
      </c>
      <c r="EJO8" s="111">
        <v>2.1</v>
      </c>
      <c r="EJP8" s="111">
        <v>1.5</v>
      </c>
      <c r="EJQ8" s="111">
        <v>2</v>
      </c>
      <c r="EJR8" s="111">
        <v>3.3</v>
      </c>
      <c r="EJV8" s="93">
        <v>2.2000000000000002</v>
      </c>
      <c r="EJW8" s="93">
        <v>2.8</v>
      </c>
      <c r="EKR8" s="110" t="s">
        <v>139</v>
      </c>
      <c r="EKS8" s="111">
        <v>3.1</v>
      </c>
      <c r="EKT8" s="111">
        <v>2.2000000000000002</v>
      </c>
      <c r="EKU8" s="111">
        <v>2.1</v>
      </c>
      <c r="EKV8" s="111">
        <v>1.5</v>
      </c>
      <c r="EKW8" s="111">
        <v>2</v>
      </c>
      <c r="EKX8" s="111">
        <v>3.3</v>
      </c>
      <c r="ELB8" s="93">
        <v>2.2000000000000002</v>
      </c>
      <c r="ELC8" s="93">
        <v>2.8</v>
      </c>
      <c r="ELX8" s="110" t="s">
        <v>139</v>
      </c>
      <c r="ELY8" s="111">
        <v>3.1</v>
      </c>
      <c r="ELZ8" s="111">
        <v>2.2000000000000002</v>
      </c>
      <c r="EMA8" s="111">
        <v>2.1</v>
      </c>
      <c r="EMB8" s="111">
        <v>1.5</v>
      </c>
      <c r="EMC8" s="111">
        <v>2</v>
      </c>
      <c r="EMD8" s="111">
        <v>3.3</v>
      </c>
      <c r="EMH8" s="93">
        <v>2.2000000000000002</v>
      </c>
      <c r="EMI8" s="93">
        <v>2.8</v>
      </c>
      <c r="END8" s="110" t="s">
        <v>139</v>
      </c>
      <c r="ENE8" s="111">
        <v>3.1</v>
      </c>
      <c r="ENF8" s="111">
        <v>2.2000000000000002</v>
      </c>
      <c r="ENG8" s="111">
        <v>2.1</v>
      </c>
      <c r="ENH8" s="111">
        <v>1.5</v>
      </c>
      <c r="ENI8" s="111">
        <v>2</v>
      </c>
      <c r="ENJ8" s="111">
        <v>3.3</v>
      </c>
      <c r="ENN8" s="93">
        <v>2.2000000000000002</v>
      </c>
      <c r="ENO8" s="93">
        <v>2.8</v>
      </c>
      <c r="EOJ8" s="110" t="s">
        <v>139</v>
      </c>
      <c r="EOK8" s="111">
        <v>3.1</v>
      </c>
      <c r="EOL8" s="111">
        <v>2.2000000000000002</v>
      </c>
      <c r="EOM8" s="111">
        <v>2.1</v>
      </c>
      <c r="EON8" s="111">
        <v>1.5</v>
      </c>
      <c r="EOO8" s="111">
        <v>2</v>
      </c>
      <c r="EOP8" s="111">
        <v>3.3</v>
      </c>
      <c r="EOT8" s="93">
        <v>2.2000000000000002</v>
      </c>
      <c r="EOU8" s="93">
        <v>2.8</v>
      </c>
      <c r="EPP8" s="110" t="s">
        <v>139</v>
      </c>
      <c r="EPQ8" s="111">
        <v>3.1</v>
      </c>
      <c r="EPR8" s="111">
        <v>2.2000000000000002</v>
      </c>
      <c r="EPS8" s="111">
        <v>2.1</v>
      </c>
      <c r="EPT8" s="111">
        <v>1.5</v>
      </c>
      <c r="EPU8" s="111">
        <v>2</v>
      </c>
      <c r="EPV8" s="111">
        <v>3.3</v>
      </c>
      <c r="EPZ8" s="93">
        <v>2.2000000000000002</v>
      </c>
      <c r="EQA8" s="93">
        <v>2.8</v>
      </c>
      <c r="EQV8" s="110" t="s">
        <v>139</v>
      </c>
      <c r="EQW8" s="111">
        <v>3.1</v>
      </c>
      <c r="EQX8" s="111">
        <v>2.2000000000000002</v>
      </c>
      <c r="EQY8" s="111">
        <v>2.1</v>
      </c>
      <c r="EQZ8" s="111">
        <v>1.5</v>
      </c>
      <c r="ERA8" s="111">
        <v>2</v>
      </c>
      <c r="ERB8" s="111">
        <v>3.3</v>
      </c>
      <c r="ERF8" s="93">
        <v>2.2000000000000002</v>
      </c>
      <c r="ERG8" s="93">
        <v>2.8</v>
      </c>
      <c r="ESB8" s="110" t="s">
        <v>139</v>
      </c>
      <c r="ESC8" s="111">
        <v>3.1</v>
      </c>
      <c r="ESD8" s="111">
        <v>2.2000000000000002</v>
      </c>
      <c r="ESE8" s="111">
        <v>2.1</v>
      </c>
      <c r="ESF8" s="111">
        <v>1.5</v>
      </c>
      <c r="ESG8" s="111">
        <v>2</v>
      </c>
      <c r="ESH8" s="111">
        <v>3.3</v>
      </c>
      <c r="ESL8" s="93">
        <v>2.2000000000000002</v>
      </c>
      <c r="ESM8" s="93">
        <v>2.8</v>
      </c>
      <c r="ETH8" s="110" t="s">
        <v>139</v>
      </c>
      <c r="ETI8" s="111">
        <v>3.1</v>
      </c>
      <c r="ETJ8" s="111">
        <v>2.2000000000000002</v>
      </c>
      <c r="ETK8" s="111">
        <v>2.1</v>
      </c>
      <c r="ETL8" s="111">
        <v>1.5</v>
      </c>
      <c r="ETM8" s="111">
        <v>2</v>
      </c>
      <c r="ETN8" s="111">
        <v>3.3</v>
      </c>
      <c r="ETR8" s="93">
        <v>2.2000000000000002</v>
      </c>
      <c r="ETS8" s="93">
        <v>2.8</v>
      </c>
      <c r="EUN8" s="110" t="s">
        <v>139</v>
      </c>
      <c r="EUO8" s="111">
        <v>3.1</v>
      </c>
      <c r="EUP8" s="111">
        <v>2.2000000000000002</v>
      </c>
      <c r="EUQ8" s="111">
        <v>2.1</v>
      </c>
      <c r="EUR8" s="111">
        <v>1.5</v>
      </c>
      <c r="EUS8" s="111">
        <v>2</v>
      </c>
      <c r="EUT8" s="111">
        <v>3.3</v>
      </c>
      <c r="EUX8" s="93">
        <v>2.2000000000000002</v>
      </c>
      <c r="EUY8" s="93">
        <v>2.8</v>
      </c>
      <c r="EVT8" s="110" t="s">
        <v>139</v>
      </c>
      <c r="EVU8" s="111">
        <v>3.1</v>
      </c>
      <c r="EVV8" s="111">
        <v>2.2000000000000002</v>
      </c>
      <c r="EVW8" s="111">
        <v>2.1</v>
      </c>
      <c r="EVX8" s="111">
        <v>1.5</v>
      </c>
      <c r="EVY8" s="111">
        <v>2</v>
      </c>
      <c r="EVZ8" s="111">
        <v>3.3</v>
      </c>
      <c r="EWD8" s="93">
        <v>2.2000000000000002</v>
      </c>
      <c r="EWE8" s="93">
        <v>2.8</v>
      </c>
      <c r="EWZ8" s="110" t="s">
        <v>139</v>
      </c>
      <c r="EXA8" s="111">
        <v>3.1</v>
      </c>
      <c r="EXB8" s="111">
        <v>2.2000000000000002</v>
      </c>
      <c r="EXC8" s="111">
        <v>2.1</v>
      </c>
      <c r="EXD8" s="111">
        <v>1.5</v>
      </c>
      <c r="EXE8" s="111">
        <v>2</v>
      </c>
      <c r="EXF8" s="111">
        <v>3.3</v>
      </c>
      <c r="EXJ8" s="93">
        <v>2.2000000000000002</v>
      </c>
      <c r="EXK8" s="93">
        <v>2.8</v>
      </c>
      <c r="EYF8" s="110" t="s">
        <v>139</v>
      </c>
      <c r="EYG8" s="111">
        <v>3.1</v>
      </c>
      <c r="EYH8" s="111">
        <v>2.2000000000000002</v>
      </c>
      <c r="EYI8" s="111">
        <v>2.1</v>
      </c>
      <c r="EYJ8" s="111">
        <v>1.5</v>
      </c>
      <c r="EYK8" s="111">
        <v>2</v>
      </c>
      <c r="EYL8" s="111">
        <v>3.3</v>
      </c>
      <c r="EYP8" s="93">
        <v>2.2000000000000002</v>
      </c>
      <c r="EYQ8" s="93">
        <v>2.8</v>
      </c>
      <c r="EZL8" s="110" t="s">
        <v>139</v>
      </c>
      <c r="EZM8" s="111">
        <v>3.1</v>
      </c>
      <c r="EZN8" s="111">
        <v>2.2000000000000002</v>
      </c>
      <c r="EZO8" s="111">
        <v>2.1</v>
      </c>
      <c r="EZP8" s="111">
        <v>1.5</v>
      </c>
      <c r="EZQ8" s="111">
        <v>2</v>
      </c>
      <c r="EZR8" s="111">
        <v>3.3</v>
      </c>
      <c r="EZV8" s="93">
        <v>2.2000000000000002</v>
      </c>
      <c r="EZW8" s="93">
        <v>2.8</v>
      </c>
      <c r="FAR8" s="110" t="s">
        <v>139</v>
      </c>
      <c r="FAS8" s="111">
        <v>3.1</v>
      </c>
      <c r="FAT8" s="111">
        <v>2.2000000000000002</v>
      </c>
      <c r="FAU8" s="111">
        <v>2.1</v>
      </c>
      <c r="FAV8" s="111">
        <v>1.5</v>
      </c>
      <c r="FAW8" s="111">
        <v>2</v>
      </c>
      <c r="FAX8" s="111">
        <v>3.3</v>
      </c>
      <c r="FBB8" s="93">
        <v>2.2000000000000002</v>
      </c>
      <c r="FBC8" s="93">
        <v>2.8</v>
      </c>
      <c r="FBX8" s="110" t="s">
        <v>139</v>
      </c>
      <c r="FBY8" s="111">
        <v>3.1</v>
      </c>
      <c r="FBZ8" s="111">
        <v>2.2000000000000002</v>
      </c>
      <c r="FCA8" s="111">
        <v>2.1</v>
      </c>
      <c r="FCB8" s="111">
        <v>1.5</v>
      </c>
      <c r="FCC8" s="111">
        <v>2</v>
      </c>
      <c r="FCD8" s="111">
        <v>3.3</v>
      </c>
      <c r="FCH8" s="93">
        <v>2.2000000000000002</v>
      </c>
      <c r="FCI8" s="93">
        <v>2.8</v>
      </c>
      <c r="FDD8" s="110" t="s">
        <v>139</v>
      </c>
      <c r="FDE8" s="111">
        <v>3.1</v>
      </c>
      <c r="FDF8" s="111">
        <v>2.2000000000000002</v>
      </c>
      <c r="FDG8" s="111">
        <v>2.1</v>
      </c>
      <c r="FDH8" s="111">
        <v>1.5</v>
      </c>
      <c r="FDI8" s="111">
        <v>2</v>
      </c>
      <c r="FDJ8" s="111">
        <v>3.3</v>
      </c>
      <c r="FDN8" s="93">
        <v>2.2000000000000002</v>
      </c>
      <c r="FDO8" s="93">
        <v>2.8</v>
      </c>
      <c r="FEJ8" s="110" t="s">
        <v>139</v>
      </c>
      <c r="FEK8" s="111">
        <v>3.1</v>
      </c>
      <c r="FEL8" s="111">
        <v>2.2000000000000002</v>
      </c>
      <c r="FEM8" s="111">
        <v>2.1</v>
      </c>
      <c r="FEN8" s="111">
        <v>1.5</v>
      </c>
      <c r="FEO8" s="111">
        <v>2</v>
      </c>
      <c r="FEP8" s="111">
        <v>3.3</v>
      </c>
      <c r="FET8" s="93">
        <v>2.2000000000000002</v>
      </c>
      <c r="FEU8" s="93">
        <v>2.8</v>
      </c>
      <c r="FFP8" s="110" t="s">
        <v>139</v>
      </c>
      <c r="FFQ8" s="111">
        <v>3.1</v>
      </c>
      <c r="FFR8" s="111">
        <v>2.2000000000000002</v>
      </c>
      <c r="FFS8" s="111">
        <v>2.1</v>
      </c>
      <c r="FFT8" s="111">
        <v>1.5</v>
      </c>
      <c r="FFU8" s="111">
        <v>2</v>
      </c>
      <c r="FFV8" s="111">
        <v>3.3</v>
      </c>
      <c r="FFZ8" s="93">
        <v>2.2000000000000002</v>
      </c>
      <c r="FGA8" s="93">
        <v>2.8</v>
      </c>
      <c r="FGV8" s="110" t="s">
        <v>139</v>
      </c>
      <c r="FGW8" s="111">
        <v>3.1</v>
      </c>
      <c r="FGX8" s="111">
        <v>2.2000000000000002</v>
      </c>
      <c r="FGY8" s="111">
        <v>2.1</v>
      </c>
      <c r="FGZ8" s="111">
        <v>1.5</v>
      </c>
      <c r="FHA8" s="111">
        <v>2</v>
      </c>
      <c r="FHB8" s="111">
        <v>3.3</v>
      </c>
      <c r="FHF8" s="93">
        <v>2.2000000000000002</v>
      </c>
      <c r="FHG8" s="93">
        <v>2.8</v>
      </c>
      <c r="FIB8" s="110" t="s">
        <v>139</v>
      </c>
      <c r="FIC8" s="111">
        <v>3.1</v>
      </c>
      <c r="FID8" s="111">
        <v>2.2000000000000002</v>
      </c>
      <c r="FIE8" s="111">
        <v>2.1</v>
      </c>
      <c r="FIF8" s="111">
        <v>1.5</v>
      </c>
      <c r="FIG8" s="111">
        <v>2</v>
      </c>
      <c r="FIH8" s="111">
        <v>3.3</v>
      </c>
      <c r="FIL8" s="93">
        <v>2.2000000000000002</v>
      </c>
      <c r="FIM8" s="93">
        <v>2.8</v>
      </c>
      <c r="FJH8" s="110" t="s">
        <v>139</v>
      </c>
      <c r="FJI8" s="111">
        <v>3.1</v>
      </c>
      <c r="FJJ8" s="111">
        <v>2.2000000000000002</v>
      </c>
      <c r="FJK8" s="111">
        <v>2.1</v>
      </c>
      <c r="FJL8" s="111">
        <v>1.5</v>
      </c>
      <c r="FJM8" s="111">
        <v>2</v>
      </c>
      <c r="FJN8" s="111">
        <v>3.3</v>
      </c>
      <c r="FJR8" s="93">
        <v>2.2000000000000002</v>
      </c>
      <c r="FJS8" s="93">
        <v>2.8</v>
      </c>
      <c r="FKN8" s="110" t="s">
        <v>139</v>
      </c>
      <c r="FKO8" s="111">
        <v>3.1</v>
      </c>
      <c r="FKP8" s="111">
        <v>2.2000000000000002</v>
      </c>
      <c r="FKQ8" s="111">
        <v>2.1</v>
      </c>
      <c r="FKR8" s="111">
        <v>1.5</v>
      </c>
      <c r="FKS8" s="111">
        <v>2</v>
      </c>
      <c r="FKT8" s="111">
        <v>3.3</v>
      </c>
      <c r="FKX8" s="93">
        <v>2.2000000000000002</v>
      </c>
      <c r="FKY8" s="93">
        <v>2.8</v>
      </c>
      <c r="FLT8" s="110" t="s">
        <v>139</v>
      </c>
      <c r="FLU8" s="111">
        <v>3.1</v>
      </c>
      <c r="FLV8" s="111">
        <v>2.2000000000000002</v>
      </c>
      <c r="FLW8" s="111">
        <v>2.1</v>
      </c>
      <c r="FLX8" s="111">
        <v>1.5</v>
      </c>
      <c r="FLY8" s="111">
        <v>2</v>
      </c>
      <c r="FLZ8" s="111">
        <v>3.3</v>
      </c>
      <c r="FMD8" s="93">
        <v>2.2000000000000002</v>
      </c>
      <c r="FME8" s="93">
        <v>2.8</v>
      </c>
      <c r="FMZ8" s="110" t="s">
        <v>139</v>
      </c>
      <c r="FNA8" s="111">
        <v>3.1</v>
      </c>
      <c r="FNB8" s="111">
        <v>2.2000000000000002</v>
      </c>
      <c r="FNC8" s="111">
        <v>2.1</v>
      </c>
      <c r="FND8" s="111">
        <v>1.5</v>
      </c>
      <c r="FNE8" s="111">
        <v>2</v>
      </c>
      <c r="FNF8" s="111">
        <v>3.3</v>
      </c>
      <c r="FNJ8" s="93">
        <v>2.2000000000000002</v>
      </c>
      <c r="FNK8" s="93">
        <v>2.8</v>
      </c>
      <c r="FOF8" s="110" t="s">
        <v>139</v>
      </c>
      <c r="FOG8" s="111">
        <v>3.1</v>
      </c>
      <c r="FOH8" s="111">
        <v>2.2000000000000002</v>
      </c>
      <c r="FOI8" s="111">
        <v>2.1</v>
      </c>
      <c r="FOJ8" s="111">
        <v>1.5</v>
      </c>
      <c r="FOK8" s="111">
        <v>2</v>
      </c>
      <c r="FOL8" s="111">
        <v>3.3</v>
      </c>
      <c r="FOP8" s="93">
        <v>2.2000000000000002</v>
      </c>
      <c r="FOQ8" s="93">
        <v>2.8</v>
      </c>
      <c r="FPL8" s="110" t="s">
        <v>139</v>
      </c>
      <c r="FPM8" s="111">
        <v>3.1</v>
      </c>
      <c r="FPN8" s="111">
        <v>2.2000000000000002</v>
      </c>
      <c r="FPO8" s="111">
        <v>2.1</v>
      </c>
      <c r="FPP8" s="111">
        <v>1.5</v>
      </c>
      <c r="FPQ8" s="111">
        <v>2</v>
      </c>
      <c r="FPR8" s="111">
        <v>3.3</v>
      </c>
      <c r="FPV8" s="93">
        <v>2.2000000000000002</v>
      </c>
      <c r="FPW8" s="93">
        <v>2.8</v>
      </c>
      <c r="FQR8" s="110" t="s">
        <v>139</v>
      </c>
      <c r="FQS8" s="111">
        <v>3.1</v>
      </c>
      <c r="FQT8" s="111">
        <v>2.2000000000000002</v>
      </c>
      <c r="FQU8" s="111">
        <v>2.1</v>
      </c>
      <c r="FQV8" s="111">
        <v>1.5</v>
      </c>
      <c r="FQW8" s="111">
        <v>2</v>
      </c>
      <c r="FQX8" s="111">
        <v>3.3</v>
      </c>
      <c r="FRB8" s="93">
        <v>2.2000000000000002</v>
      </c>
      <c r="FRC8" s="93">
        <v>2.8</v>
      </c>
      <c r="FRX8" s="110" t="s">
        <v>139</v>
      </c>
      <c r="FRY8" s="111">
        <v>3.1</v>
      </c>
      <c r="FRZ8" s="111">
        <v>2.2000000000000002</v>
      </c>
      <c r="FSA8" s="111">
        <v>2.1</v>
      </c>
      <c r="FSB8" s="111">
        <v>1.5</v>
      </c>
      <c r="FSC8" s="111">
        <v>2</v>
      </c>
      <c r="FSD8" s="111">
        <v>3.3</v>
      </c>
      <c r="FSH8" s="93">
        <v>2.2000000000000002</v>
      </c>
      <c r="FSI8" s="93">
        <v>2.8</v>
      </c>
      <c r="FTD8" s="110" t="s">
        <v>139</v>
      </c>
      <c r="FTE8" s="111">
        <v>3.1</v>
      </c>
      <c r="FTF8" s="111">
        <v>2.2000000000000002</v>
      </c>
      <c r="FTG8" s="111">
        <v>2.1</v>
      </c>
      <c r="FTH8" s="111">
        <v>1.5</v>
      </c>
      <c r="FTI8" s="111">
        <v>2</v>
      </c>
      <c r="FTJ8" s="111">
        <v>3.3</v>
      </c>
      <c r="FTN8" s="93">
        <v>2.2000000000000002</v>
      </c>
      <c r="FTO8" s="93">
        <v>2.8</v>
      </c>
      <c r="FUJ8" s="110" t="s">
        <v>139</v>
      </c>
      <c r="FUK8" s="111">
        <v>3.1</v>
      </c>
      <c r="FUL8" s="111">
        <v>2.2000000000000002</v>
      </c>
      <c r="FUM8" s="111">
        <v>2.1</v>
      </c>
      <c r="FUN8" s="111">
        <v>1.5</v>
      </c>
      <c r="FUO8" s="111">
        <v>2</v>
      </c>
      <c r="FUP8" s="111">
        <v>3.3</v>
      </c>
      <c r="FUT8" s="93">
        <v>2.2000000000000002</v>
      </c>
      <c r="FUU8" s="93">
        <v>2.8</v>
      </c>
      <c r="FVP8" s="110" t="s">
        <v>139</v>
      </c>
      <c r="FVQ8" s="111">
        <v>3.1</v>
      </c>
      <c r="FVR8" s="111">
        <v>2.2000000000000002</v>
      </c>
      <c r="FVS8" s="111">
        <v>2.1</v>
      </c>
      <c r="FVT8" s="111">
        <v>1.5</v>
      </c>
      <c r="FVU8" s="111">
        <v>2</v>
      </c>
      <c r="FVV8" s="111">
        <v>3.3</v>
      </c>
      <c r="FVZ8" s="93">
        <v>2.2000000000000002</v>
      </c>
      <c r="FWA8" s="93">
        <v>2.8</v>
      </c>
      <c r="FWV8" s="110" t="s">
        <v>139</v>
      </c>
      <c r="FWW8" s="111">
        <v>3.1</v>
      </c>
      <c r="FWX8" s="111">
        <v>2.2000000000000002</v>
      </c>
      <c r="FWY8" s="111">
        <v>2.1</v>
      </c>
      <c r="FWZ8" s="111">
        <v>1.5</v>
      </c>
      <c r="FXA8" s="111">
        <v>2</v>
      </c>
      <c r="FXB8" s="111">
        <v>3.3</v>
      </c>
      <c r="FXF8" s="93">
        <v>2.2000000000000002</v>
      </c>
      <c r="FXG8" s="93">
        <v>2.8</v>
      </c>
      <c r="FYB8" s="110" t="s">
        <v>139</v>
      </c>
      <c r="FYC8" s="111">
        <v>3.1</v>
      </c>
      <c r="FYD8" s="111">
        <v>2.2000000000000002</v>
      </c>
      <c r="FYE8" s="111">
        <v>2.1</v>
      </c>
      <c r="FYF8" s="111">
        <v>1.5</v>
      </c>
      <c r="FYG8" s="111">
        <v>2</v>
      </c>
      <c r="FYH8" s="111">
        <v>3.3</v>
      </c>
      <c r="FYL8" s="93">
        <v>2.2000000000000002</v>
      </c>
      <c r="FYM8" s="93">
        <v>2.8</v>
      </c>
      <c r="FZH8" s="110" t="s">
        <v>139</v>
      </c>
      <c r="FZI8" s="111">
        <v>3.1</v>
      </c>
      <c r="FZJ8" s="111">
        <v>2.2000000000000002</v>
      </c>
      <c r="FZK8" s="111">
        <v>2.1</v>
      </c>
      <c r="FZL8" s="111">
        <v>1.5</v>
      </c>
      <c r="FZM8" s="111">
        <v>2</v>
      </c>
      <c r="FZN8" s="111">
        <v>3.3</v>
      </c>
      <c r="FZR8" s="93">
        <v>2.2000000000000002</v>
      </c>
      <c r="FZS8" s="93">
        <v>2.8</v>
      </c>
      <c r="GAN8" s="110" t="s">
        <v>139</v>
      </c>
      <c r="GAO8" s="111">
        <v>3.1</v>
      </c>
      <c r="GAP8" s="111">
        <v>2.2000000000000002</v>
      </c>
      <c r="GAQ8" s="111">
        <v>2.1</v>
      </c>
      <c r="GAR8" s="111">
        <v>1.5</v>
      </c>
      <c r="GAS8" s="111">
        <v>2</v>
      </c>
      <c r="GAT8" s="111">
        <v>3.3</v>
      </c>
      <c r="GAX8" s="93">
        <v>2.2000000000000002</v>
      </c>
      <c r="GAY8" s="93">
        <v>2.8</v>
      </c>
      <c r="GBT8" s="110" t="s">
        <v>139</v>
      </c>
      <c r="GBU8" s="111">
        <v>3.1</v>
      </c>
      <c r="GBV8" s="111">
        <v>2.2000000000000002</v>
      </c>
      <c r="GBW8" s="111">
        <v>2.1</v>
      </c>
      <c r="GBX8" s="111">
        <v>1.5</v>
      </c>
      <c r="GBY8" s="111">
        <v>2</v>
      </c>
      <c r="GBZ8" s="111">
        <v>3.3</v>
      </c>
      <c r="GCD8" s="93">
        <v>2.2000000000000002</v>
      </c>
      <c r="GCE8" s="93">
        <v>2.8</v>
      </c>
      <c r="GCZ8" s="110" t="s">
        <v>139</v>
      </c>
      <c r="GDA8" s="111">
        <v>3.1</v>
      </c>
      <c r="GDB8" s="111">
        <v>2.2000000000000002</v>
      </c>
      <c r="GDC8" s="111">
        <v>2.1</v>
      </c>
      <c r="GDD8" s="111">
        <v>1.5</v>
      </c>
      <c r="GDE8" s="111">
        <v>2</v>
      </c>
      <c r="GDF8" s="111">
        <v>3.3</v>
      </c>
      <c r="GDJ8" s="93">
        <v>2.2000000000000002</v>
      </c>
      <c r="GDK8" s="93">
        <v>2.8</v>
      </c>
      <c r="GEF8" s="110" t="s">
        <v>139</v>
      </c>
      <c r="GEG8" s="111">
        <v>3.1</v>
      </c>
      <c r="GEH8" s="111">
        <v>2.2000000000000002</v>
      </c>
      <c r="GEI8" s="111">
        <v>2.1</v>
      </c>
      <c r="GEJ8" s="111">
        <v>1.5</v>
      </c>
      <c r="GEK8" s="111">
        <v>2</v>
      </c>
      <c r="GEL8" s="111">
        <v>3.3</v>
      </c>
      <c r="GEP8" s="93">
        <v>2.2000000000000002</v>
      </c>
      <c r="GEQ8" s="93">
        <v>2.8</v>
      </c>
      <c r="GFL8" s="110" t="s">
        <v>139</v>
      </c>
      <c r="GFM8" s="111">
        <v>3.1</v>
      </c>
      <c r="GFN8" s="111">
        <v>2.2000000000000002</v>
      </c>
      <c r="GFO8" s="111">
        <v>2.1</v>
      </c>
      <c r="GFP8" s="111">
        <v>1.5</v>
      </c>
      <c r="GFQ8" s="111">
        <v>2</v>
      </c>
      <c r="GFR8" s="111">
        <v>3.3</v>
      </c>
      <c r="GFV8" s="93">
        <v>2.2000000000000002</v>
      </c>
      <c r="GFW8" s="93">
        <v>2.8</v>
      </c>
      <c r="GGR8" s="110" t="s">
        <v>139</v>
      </c>
      <c r="GGS8" s="111">
        <v>3.1</v>
      </c>
      <c r="GGT8" s="111">
        <v>2.2000000000000002</v>
      </c>
      <c r="GGU8" s="111">
        <v>2.1</v>
      </c>
      <c r="GGV8" s="111">
        <v>1.5</v>
      </c>
      <c r="GGW8" s="111">
        <v>2</v>
      </c>
      <c r="GGX8" s="111">
        <v>3.3</v>
      </c>
      <c r="GHB8" s="93">
        <v>2.2000000000000002</v>
      </c>
      <c r="GHC8" s="93">
        <v>2.8</v>
      </c>
      <c r="GHX8" s="110" t="s">
        <v>139</v>
      </c>
      <c r="GHY8" s="111">
        <v>3.1</v>
      </c>
      <c r="GHZ8" s="111">
        <v>2.2000000000000002</v>
      </c>
      <c r="GIA8" s="111">
        <v>2.1</v>
      </c>
      <c r="GIB8" s="111">
        <v>1.5</v>
      </c>
      <c r="GIC8" s="111">
        <v>2</v>
      </c>
      <c r="GID8" s="111">
        <v>3.3</v>
      </c>
      <c r="GIH8" s="93">
        <v>2.2000000000000002</v>
      </c>
      <c r="GII8" s="93">
        <v>2.8</v>
      </c>
      <c r="GJD8" s="110" t="s">
        <v>139</v>
      </c>
      <c r="GJE8" s="111">
        <v>3.1</v>
      </c>
      <c r="GJF8" s="111">
        <v>2.2000000000000002</v>
      </c>
      <c r="GJG8" s="111">
        <v>2.1</v>
      </c>
      <c r="GJH8" s="111">
        <v>1.5</v>
      </c>
      <c r="GJI8" s="111">
        <v>2</v>
      </c>
      <c r="GJJ8" s="111">
        <v>3.3</v>
      </c>
      <c r="GJN8" s="93">
        <v>2.2000000000000002</v>
      </c>
      <c r="GJO8" s="93">
        <v>2.8</v>
      </c>
      <c r="GKJ8" s="110" t="s">
        <v>139</v>
      </c>
      <c r="GKK8" s="111">
        <v>3.1</v>
      </c>
      <c r="GKL8" s="111">
        <v>2.2000000000000002</v>
      </c>
      <c r="GKM8" s="111">
        <v>2.1</v>
      </c>
      <c r="GKN8" s="111">
        <v>1.5</v>
      </c>
      <c r="GKO8" s="111">
        <v>2</v>
      </c>
      <c r="GKP8" s="111">
        <v>3.3</v>
      </c>
      <c r="GKT8" s="93">
        <v>2.2000000000000002</v>
      </c>
      <c r="GKU8" s="93">
        <v>2.8</v>
      </c>
      <c r="GLP8" s="110" t="s">
        <v>139</v>
      </c>
      <c r="GLQ8" s="111">
        <v>3.1</v>
      </c>
      <c r="GLR8" s="111">
        <v>2.2000000000000002</v>
      </c>
      <c r="GLS8" s="111">
        <v>2.1</v>
      </c>
      <c r="GLT8" s="111">
        <v>1.5</v>
      </c>
      <c r="GLU8" s="111">
        <v>2</v>
      </c>
      <c r="GLV8" s="111">
        <v>3.3</v>
      </c>
      <c r="GLZ8" s="93">
        <v>2.2000000000000002</v>
      </c>
      <c r="GMA8" s="93">
        <v>2.8</v>
      </c>
      <c r="GMV8" s="110" t="s">
        <v>139</v>
      </c>
      <c r="GMW8" s="111">
        <v>3.1</v>
      </c>
      <c r="GMX8" s="111">
        <v>2.2000000000000002</v>
      </c>
      <c r="GMY8" s="111">
        <v>2.1</v>
      </c>
      <c r="GMZ8" s="111">
        <v>1.5</v>
      </c>
      <c r="GNA8" s="111">
        <v>2</v>
      </c>
      <c r="GNB8" s="111">
        <v>3.3</v>
      </c>
      <c r="GNF8" s="93">
        <v>2.2000000000000002</v>
      </c>
      <c r="GNG8" s="93">
        <v>2.8</v>
      </c>
      <c r="GOB8" s="110" t="s">
        <v>139</v>
      </c>
      <c r="GOC8" s="111">
        <v>3.1</v>
      </c>
      <c r="GOD8" s="111">
        <v>2.2000000000000002</v>
      </c>
      <c r="GOE8" s="111">
        <v>2.1</v>
      </c>
      <c r="GOF8" s="111">
        <v>1.5</v>
      </c>
      <c r="GOG8" s="111">
        <v>2</v>
      </c>
      <c r="GOH8" s="111">
        <v>3.3</v>
      </c>
      <c r="GOL8" s="93">
        <v>2.2000000000000002</v>
      </c>
      <c r="GOM8" s="93">
        <v>2.8</v>
      </c>
      <c r="GPH8" s="110" t="s">
        <v>139</v>
      </c>
      <c r="GPI8" s="111">
        <v>3.1</v>
      </c>
      <c r="GPJ8" s="111">
        <v>2.2000000000000002</v>
      </c>
      <c r="GPK8" s="111">
        <v>2.1</v>
      </c>
      <c r="GPL8" s="111">
        <v>1.5</v>
      </c>
      <c r="GPM8" s="111">
        <v>2</v>
      </c>
      <c r="GPN8" s="111">
        <v>3.3</v>
      </c>
      <c r="GPR8" s="93">
        <v>2.2000000000000002</v>
      </c>
      <c r="GPS8" s="93">
        <v>2.8</v>
      </c>
      <c r="GQN8" s="110" t="s">
        <v>139</v>
      </c>
      <c r="GQO8" s="111">
        <v>3.1</v>
      </c>
      <c r="GQP8" s="111">
        <v>2.2000000000000002</v>
      </c>
      <c r="GQQ8" s="111">
        <v>2.1</v>
      </c>
      <c r="GQR8" s="111">
        <v>1.5</v>
      </c>
      <c r="GQS8" s="111">
        <v>2</v>
      </c>
      <c r="GQT8" s="111">
        <v>3.3</v>
      </c>
      <c r="GQX8" s="93">
        <v>2.2000000000000002</v>
      </c>
      <c r="GQY8" s="93">
        <v>2.8</v>
      </c>
      <c r="GRT8" s="110" t="s">
        <v>139</v>
      </c>
      <c r="GRU8" s="111">
        <v>3.1</v>
      </c>
      <c r="GRV8" s="111">
        <v>2.2000000000000002</v>
      </c>
      <c r="GRW8" s="111">
        <v>2.1</v>
      </c>
      <c r="GRX8" s="111">
        <v>1.5</v>
      </c>
      <c r="GRY8" s="111">
        <v>2</v>
      </c>
      <c r="GRZ8" s="111">
        <v>3.3</v>
      </c>
      <c r="GSD8" s="93">
        <v>2.2000000000000002</v>
      </c>
      <c r="GSE8" s="93">
        <v>2.8</v>
      </c>
      <c r="GSZ8" s="110" t="s">
        <v>139</v>
      </c>
      <c r="GTA8" s="111">
        <v>3.1</v>
      </c>
      <c r="GTB8" s="111">
        <v>2.2000000000000002</v>
      </c>
      <c r="GTC8" s="111">
        <v>2.1</v>
      </c>
      <c r="GTD8" s="111">
        <v>1.5</v>
      </c>
      <c r="GTE8" s="111">
        <v>2</v>
      </c>
      <c r="GTF8" s="111">
        <v>3.3</v>
      </c>
      <c r="GTJ8" s="93">
        <v>2.2000000000000002</v>
      </c>
      <c r="GTK8" s="93">
        <v>2.8</v>
      </c>
      <c r="GUF8" s="110" t="s">
        <v>139</v>
      </c>
      <c r="GUG8" s="111">
        <v>3.1</v>
      </c>
      <c r="GUH8" s="111">
        <v>2.2000000000000002</v>
      </c>
      <c r="GUI8" s="111">
        <v>2.1</v>
      </c>
      <c r="GUJ8" s="111">
        <v>1.5</v>
      </c>
      <c r="GUK8" s="111">
        <v>2</v>
      </c>
      <c r="GUL8" s="111">
        <v>3.3</v>
      </c>
      <c r="GUP8" s="93">
        <v>2.2000000000000002</v>
      </c>
      <c r="GUQ8" s="93">
        <v>2.8</v>
      </c>
      <c r="GVL8" s="110" t="s">
        <v>139</v>
      </c>
      <c r="GVM8" s="111">
        <v>3.1</v>
      </c>
      <c r="GVN8" s="111">
        <v>2.2000000000000002</v>
      </c>
      <c r="GVO8" s="111">
        <v>2.1</v>
      </c>
      <c r="GVP8" s="111">
        <v>1.5</v>
      </c>
      <c r="GVQ8" s="111">
        <v>2</v>
      </c>
      <c r="GVR8" s="111">
        <v>3.3</v>
      </c>
      <c r="GVV8" s="93">
        <v>2.2000000000000002</v>
      </c>
      <c r="GVW8" s="93">
        <v>2.8</v>
      </c>
      <c r="GWR8" s="110" t="s">
        <v>139</v>
      </c>
      <c r="GWS8" s="111">
        <v>3.1</v>
      </c>
      <c r="GWT8" s="111">
        <v>2.2000000000000002</v>
      </c>
      <c r="GWU8" s="111">
        <v>2.1</v>
      </c>
      <c r="GWV8" s="111">
        <v>1.5</v>
      </c>
      <c r="GWW8" s="111">
        <v>2</v>
      </c>
      <c r="GWX8" s="111">
        <v>3.3</v>
      </c>
      <c r="GXB8" s="93">
        <v>2.2000000000000002</v>
      </c>
      <c r="GXC8" s="93">
        <v>2.8</v>
      </c>
      <c r="GXX8" s="110" t="s">
        <v>139</v>
      </c>
      <c r="GXY8" s="111">
        <v>3.1</v>
      </c>
      <c r="GXZ8" s="111">
        <v>2.2000000000000002</v>
      </c>
      <c r="GYA8" s="111">
        <v>2.1</v>
      </c>
      <c r="GYB8" s="111">
        <v>1.5</v>
      </c>
      <c r="GYC8" s="111">
        <v>2</v>
      </c>
      <c r="GYD8" s="111">
        <v>3.3</v>
      </c>
      <c r="GYH8" s="93">
        <v>2.2000000000000002</v>
      </c>
      <c r="GYI8" s="93">
        <v>2.8</v>
      </c>
      <c r="GZD8" s="110" t="s">
        <v>139</v>
      </c>
      <c r="GZE8" s="111">
        <v>3.1</v>
      </c>
      <c r="GZF8" s="111">
        <v>2.2000000000000002</v>
      </c>
      <c r="GZG8" s="111">
        <v>2.1</v>
      </c>
      <c r="GZH8" s="111">
        <v>1.5</v>
      </c>
      <c r="GZI8" s="111">
        <v>2</v>
      </c>
      <c r="GZJ8" s="111">
        <v>3.3</v>
      </c>
      <c r="GZN8" s="93">
        <v>2.2000000000000002</v>
      </c>
      <c r="GZO8" s="93">
        <v>2.8</v>
      </c>
      <c r="HAJ8" s="110" t="s">
        <v>139</v>
      </c>
      <c r="HAK8" s="111">
        <v>3.1</v>
      </c>
      <c r="HAL8" s="111">
        <v>2.2000000000000002</v>
      </c>
      <c r="HAM8" s="111">
        <v>2.1</v>
      </c>
      <c r="HAN8" s="111">
        <v>1.5</v>
      </c>
      <c r="HAO8" s="111">
        <v>2</v>
      </c>
      <c r="HAP8" s="111">
        <v>3.3</v>
      </c>
      <c r="HAT8" s="93">
        <v>2.2000000000000002</v>
      </c>
      <c r="HAU8" s="93">
        <v>2.8</v>
      </c>
      <c r="HBP8" s="110" t="s">
        <v>139</v>
      </c>
      <c r="HBQ8" s="111">
        <v>3.1</v>
      </c>
      <c r="HBR8" s="111">
        <v>2.2000000000000002</v>
      </c>
      <c r="HBS8" s="111">
        <v>2.1</v>
      </c>
      <c r="HBT8" s="111">
        <v>1.5</v>
      </c>
      <c r="HBU8" s="111">
        <v>2</v>
      </c>
      <c r="HBV8" s="111">
        <v>3.3</v>
      </c>
      <c r="HBZ8" s="93">
        <v>2.2000000000000002</v>
      </c>
      <c r="HCA8" s="93">
        <v>2.8</v>
      </c>
      <c r="HCV8" s="110" t="s">
        <v>139</v>
      </c>
      <c r="HCW8" s="111">
        <v>3.1</v>
      </c>
      <c r="HCX8" s="111">
        <v>2.2000000000000002</v>
      </c>
      <c r="HCY8" s="111">
        <v>2.1</v>
      </c>
      <c r="HCZ8" s="111">
        <v>1.5</v>
      </c>
      <c r="HDA8" s="111">
        <v>2</v>
      </c>
      <c r="HDB8" s="111">
        <v>3.3</v>
      </c>
      <c r="HDF8" s="93">
        <v>2.2000000000000002</v>
      </c>
      <c r="HDG8" s="93">
        <v>2.8</v>
      </c>
      <c r="HEB8" s="110" t="s">
        <v>139</v>
      </c>
      <c r="HEC8" s="111">
        <v>3.1</v>
      </c>
      <c r="HED8" s="111">
        <v>2.2000000000000002</v>
      </c>
      <c r="HEE8" s="111">
        <v>2.1</v>
      </c>
      <c r="HEF8" s="111">
        <v>1.5</v>
      </c>
      <c r="HEG8" s="111">
        <v>2</v>
      </c>
      <c r="HEH8" s="111">
        <v>3.3</v>
      </c>
      <c r="HEL8" s="93">
        <v>2.2000000000000002</v>
      </c>
      <c r="HEM8" s="93">
        <v>2.8</v>
      </c>
      <c r="HFH8" s="110" t="s">
        <v>139</v>
      </c>
      <c r="HFI8" s="111">
        <v>3.1</v>
      </c>
      <c r="HFJ8" s="111">
        <v>2.2000000000000002</v>
      </c>
      <c r="HFK8" s="111">
        <v>2.1</v>
      </c>
      <c r="HFL8" s="111">
        <v>1.5</v>
      </c>
      <c r="HFM8" s="111">
        <v>2</v>
      </c>
      <c r="HFN8" s="111">
        <v>3.3</v>
      </c>
      <c r="HFR8" s="93">
        <v>2.2000000000000002</v>
      </c>
      <c r="HFS8" s="93">
        <v>2.8</v>
      </c>
      <c r="HGN8" s="110" t="s">
        <v>139</v>
      </c>
      <c r="HGO8" s="111">
        <v>3.1</v>
      </c>
      <c r="HGP8" s="111">
        <v>2.2000000000000002</v>
      </c>
      <c r="HGQ8" s="111">
        <v>2.1</v>
      </c>
      <c r="HGR8" s="111">
        <v>1.5</v>
      </c>
      <c r="HGS8" s="111">
        <v>2</v>
      </c>
      <c r="HGT8" s="111">
        <v>3.3</v>
      </c>
      <c r="HGX8" s="93">
        <v>2.2000000000000002</v>
      </c>
      <c r="HGY8" s="93">
        <v>2.8</v>
      </c>
      <c r="HHT8" s="110" t="s">
        <v>139</v>
      </c>
      <c r="HHU8" s="111">
        <v>3.1</v>
      </c>
      <c r="HHV8" s="111">
        <v>2.2000000000000002</v>
      </c>
      <c r="HHW8" s="111">
        <v>2.1</v>
      </c>
      <c r="HHX8" s="111">
        <v>1.5</v>
      </c>
      <c r="HHY8" s="111">
        <v>2</v>
      </c>
      <c r="HHZ8" s="111">
        <v>3.3</v>
      </c>
      <c r="HID8" s="93">
        <v>2.2000000000000002</v>
      </c>
      <c r="HIE8" s="93">
        <v>2.8</v>
      </c>
      <c r="HIZ8" s="110" t="s">
        <v>139</v>
      </c>
      <c r="HJA8" s="111">
        <v>3.1</v>
      </c>
      <c r="HJB8" s="111">
        <v>2.2000000000000002</v>
      </c>
      <c r="HJC8" s="111">
        <v>2.1</v>
      </c>
      <c r="HJD8" s="111">
        <v>1.5</v>
      </c>
      <c r="HJE8" s="111">
        <v>2</v>
      </c>
      <c r="HJF8" s="111">
        <v>3.3</v>
      </c>
      <c r="HJJ8" s="93">
        <v>2.2000000000000002</v>
      </c>
      <c r="HJK8" s="93">
        <v>2.8</v>
      </c>
      <c r="HKF8" s="110" t="s">
        <v>139</v>
      </c>
      <c r="HKG8" s="111">
        <v>3.1</v>
      </c>
      <c r="HKH8" s="111">
        <v>2.2000000000000002</v>
      </c>
      <c r="HKI8" s="111">
        <v>2.1</v>
      </c>
      <c r="HKJ8" s="111">
        <v>1.5</v>
      </c>
      <c r="HKK8" s="111">
        <v>2</v>
      </c>
      <c r="HKL8" s="111">
        <v>3.3</v>
      </c>
      <c r="HKP8" s="93">
        <v>2.2000000000000002</v>
      </c>
      <c r="HKQ8" s="93">
        <v>2.8</v>
      </c>
      <c r="HLL8" s="110" t="s">
        <v>139</v>
      </c>
      <c r="HLM8" s="111">
        <v>3.1</v>
      </c>
      <c r="HLN8" s="111">
        <v>2.2000000000000002</v>
      </c>
      <c r="HLO8" s="111">
        <v>2.1</v>
      </c>
      <c r="HLP8" s="111">
        <v>1.5</v>
      </c>
      <c r="HLQ8" s="111">
        <v>2</v>
      </c>
      <c r="HLR8" s="111">
        <v>3.3</v>
      </c>
      <c r="HLV8" s="93">
        <v>2.2000000000000002</v>
      </c>
      <c r="HLW8" s="93">
        <v>2.8</v>
      </c>
      <c r="HMR8" s="110" t="s">
        <v>139</v>
      </c>
      <c r="HMS8" s="111">
        <v>3.1</v>
      </c>
      <c r="HMT8" s="111">
        <v>2.2000000000000002</v>
      </c>
      <c r="HMU8" s="111">
        <v>2.1</v>
      </c>
      <c r="HMV8" s="111">
        <v>1.5</v>
      </c>
      <c r="HMW8" s="111">
        <v>2</v>
      </c>
      <c r="HMX8" s="111">
        <v>3.3</v>
      </c>
      <c r="HNB8" s="93">
        <v>2.2000000000000002</v>
      </c>
      <c r="HNC8" s="93">
        <v>2.8</v>
      </c>
      <c r="HNX8" s="110" t="s">
        <v>139</v>
      </c>
      <c r="HNY8" s="111">
        <v>3.1</v>
      </c>
      <c r="HNZ8" s="111">
        <v>2.2000000000000002</v>
      </c>
      <c r="HOA8" s="111">
        <v>2.1</v>
      </c>
      <c r="HOB8" s="111">
        <v>1.5</v>
      </c>
      <c r="HOC8" s="111">
        <v>2</v>
      </c>
      <c r="HOD8" s="111">
        <v>3.3</v>
      </c>
      <c r="HOH8" s="93">
        <v>2.2000000000000002</v>
      </c>
      <c r="HOI8" s="93">
        <v>2.8</v>
      </c>
      <c r="HPD8" s="110" t="s">
        <v>139</v>
      </c>
      <c r="HPE8" s="111">
        <v>3.1</v>
      </c>
      <c r="HPF8" s="111">
        <v>2.2000000000000002</v>
      </c>
      <c r="HPG8" s="111">
        <v>2.1</v>
      </c>
      <c r="HPH8" s="111">
        <v>1.5</v>
      </c>
      <c r="HPI8" s="111">
        <v>2</v>
      </c>
      <c r="HPJ8" s="111">
        <v>3.3</v>
      </c>
      <c r="HPN8" s="93">
        <v>2.2000000000000002</v>
      </c>
      <c r="HPO8" s="93">
        <v>2.8</v>
      </c>
      <c r="HQJ8" s="110" t="s">
        <v>139</v>
      </c>
      <c r="HQK8" s="111">
        <v>3.1</v>
      </c>
      <c r="HQL8" s="111">
        <v>2.2000000000000002</v>
      </c>
      <c r="HQM8" s="111">
        <v>2.1</v>
      </c>
      <c r="HQN8" s="111">
        <v>1.5</v>
      </c>
      <c r="HQO8" s="111">
        <v>2</v>
      </c>
      <c r="HQP8" s="111">
        <v>3.3</v>
      </c>
      <c r="HQT8" s="93">
        <v>2.2000000000000002</v>
      </c>
      <c r="HQU8" s="93">
        <v>2.8</v>
      </c>
      <c r="HRP8" s="110" t="s">
        <v>139</v>
      </c>
      <c r="HRQ8" s="111">
        <v>3.1</v>
      </c>
      <c r="HRR8" s="111">
        <v>2.2000000000000002</v>
      </c>
      <c r="HRS8" s="111">
        <v>2.1</v>
      </c>
      <c r="HRT8" s="111">
        <v>1.5</v>
      </c>
      <c r="HRU8" s="111">
        <v>2</v>
      </c>
      <c r="HRV8" s="111">
        <v>3.3</v>
      </c>
      <c r="HRZ8" s="93">
        <v>2.2000000000000002</v>
      </c>
      <c r="HSA8" s="93">
        <v>2.8</v>
      </c>
      <c r="HSV8" s="110" t="s">
        <v>139</v>
      </c>
      <c r="HSW8" s="111">
        <v>3.1</v>
      </c>
      <c r="HSX8" s="111">
        <v>2.2000000000000002</v>
      </c>
      <c r="HSY8" s="111">
        <v>2.1</v>
      </c>
      <c r="HSZ8" s="111">
        <v>1.5</v>
      </c>
      <c r="HTA8" s="111">
        <v>2</v>
      </c>
      <c r="HTB8" s="111">
        <v>3.3</v>
      </c>
      <c r="HTF8" s="93">
        <v>2.2000000000000002</v>
      </c>
      <c r="HTG8" s="93">
        <v>2.8</v>
      </c>
      <c r="HUB8" s="110" t="s">
        <v>139</v>
      </c>
      <c r="HUC8" s="111">
        <v>3.1</v>
      </c>
      <c r="HUD8" s="111">
        <v>2.2000000000000002</v>
      </c>
      <c r="HUE8" s="111">
        <v>2.1</v>
      </c>
      <c r="HUF8" s="111">
        <v>1.5</v>
      </c>
      <c r="HUG8" s="111">
        <v>2</v>
      </c>
      <c r="HUH8" s="111">
        <v>3.3</v>
      </c>
      <c r="HUL8" s="93">
        <v>2.2000000000000002</v>
      </c>
      <c r="HUM8" s="93">
        <v>2.8</v>
      </c>
      <c r="HVH8" s="110" t="s">
        <v>139</v>
      </c>
      <c r="HVI8" s="111">
        <v>3.1</v>
      </c>
      <c r="HVJ8" s="111">
        <v>2.2000000000000002</v>
      </c>
      <c r="HVK8" s="111">
        <v>2.1</v>
      </c>
      <c r="HVL8" s="111">
        <v>1.5</v>
      </c>
      <c r="HVM8" s="111">
        <v>2</v>
      </c>
      <c r="HVN8" s="111">
        <v>3.3</v>
      </c>
      <c r="HVR8" s="93">
        <v>2.2000000000000002</v>
      </c>
      <c r="HVS8" s="93">
        <v>2.8</v>
      </c>
      <c r="HWN8" s="110" t="s">
        <v>139</v>
      </c>
      <c r="HWO8" s="111">
        <v>3.1</v>
      </c>
      <c r="HWP8" s="111">
        <v>2.2000000000000002</v>
      </c>
      <c r="HWQ8" s="111">
        <v>2.1</v>
      </c>
      <c r="HWR8" s="111">
        <v>1.5</v>
      </c>
      <c r="HWS8" s="111">
        <v>2</v>
      </c>
      <c r="HWT8" s="111">
        <v>3.3</v>
      </c>
      <c r="HWX8" s="93">
        <v>2.2000000000000002</v>
      </c>
      <c r="HWY8" s="93">
        <v>2.8</v>
      </c>
      <c r="HXT8" s="110" t="s">
        <v>139</v>
      </c>
      <c r="HXU8" s="111">
        <v>3.1</v>
      </c>
      <c r="HXV8" s="111">
        <v>2.2000000000000002</v>
      </c>
      <c r="HXW8" s="111">
        <v>2.1</v>
      </c>
      <c r="HXX8" s="111">
        <v>1.5</v>
      </c>
      <c r="HXY8" s="111">
        <v>2</v>
      </c>
      <c r="HXZ8" s="111">
        <v>3.3</v>
      </c>
      <c r="HYD8" s="93">
        <v>2.2000000000000002</v>
      </c>
      <c r="HYE8" s="93">
        <v>2.8</v>
      </c>
      <c r="HYZ8" s="110" t="s">
        <v>139</v>
      </c>
      <c r="HZA8" s="111">
        <v>3.1</v>
      </c>
      <c r="HZB8" s="111">
        <v>2.2000000000000002</v>
      </c>
      <c r="HZC8" s="111">
        <v>2.1</v>
      </c>
      <c r="HZD8" s="111">
        <v>1.5</v>
      </c>
      <c r="HZE8" s="111">
        <v>2</v>
      </c>
      <c r="HZF8" s="111">
        <v>3.3</v>
      </c>
      <c r="HZJ8" s="93">
        <v>2.2000000000000002</v>
      </c>
      <c r="HZK8" s="93">
        <v>2.8</v>
      </c>
      <c r="IAF8" s="110" t="s">
        <v>139</v>
      </c>
      <c r="IAG8" s="111">
        <v>3.1</v>
      </c>
      <c r="IAH8" s="111">
        <v>2.2000000000000002</v>
      </c>
      <c r="IAI8" s="111">
        <v>2.1</v>
      </c>
      <c r="IAJ8" s="111">
        <v>1.5</v>
      </c>
      <c r="IAK8" s="111">
        <v>2</v>
      </c>
      <c r="IAL8" s="111">
        <v>3.3</v>
      </c>
      <c r="IAP8" s="93">
        <v>2.2000000000000002</v>
      </c>
      <c r="IAQ8" s="93">
        <v>2.8</v>
      </c>
      <c r="IBL8" s="110" t="s">
        <v>139</v>
      </c>
      <c r="IBM8" s="111">
        <v>3.1</v>
      </c>
      <c r="IBN8" s="111">
        <v>2.2000000000000002</v>
      </c>
      <c r="IBO8" s="111">
        <v>2.1</v>
      </c>
      <c r="IBP8" s="111">
        <v>1.5</v>
      </c>
      <c r="IBQ8" s="111">
        <v>2</v>
      </c>
      <c r="IBR8" s="111">
        <v>3.3</v>
      </c>
      <c r="IBV8" s="93">
        <v>2.2000000000000002</v>
      </c>
      <c r="IBW8" s="93">
        <v>2.8</v>
      </c>
      <c r="ICR8" s="110" t="s">
        <v>139</v>
      </c>
      <c r="ICS8" s="111">
        <v>3.1</v>
      </c>
      <c r="ICT8" s="111">
        <v>2.2000000000000002</v>
      </c>
      <c r="ICU8" s="111">
        <v>2.1</v>
      </c>
      <c r="ICV8" s="111">
        <v>1.5</v>
      </c>
      <c r="ICW8" s="111">
        <v>2</v>
      </c>
      <c r="ICX8" s="111">
        <v>3.3</v>
      </c>
      <c r="IDB8" s="93">
        <v>2.2000000000000002</v>
      </c>
      <c r="IDC8" s="93">
        <v>2.8</v>
      </c>
      <c r="IDX8" s="110" t="s">
        <v>139</v>
      </c>
      <c r="IDY8" s="111">
        <v>3.1</v>
      </c>
      <c r="IDZ8" s="111">
        <v>2.2000000000000002</v>
      </c>
      <c r="IEA8" s="111">
        <v>2.1</v>
      </c>
      <c r="IEB8" s="111">
        <v>1.5</v>
      </c>
      <c r="IEC8" s="111">
        <v>2</v>
      </c>
      <c r="IED8" s="111">
        <v>3.3</v>
      </c>
      <c r="IEH8" s="93">
        <v>2.2000000000000002</v>
      </c>
      <c r="IEI8" s="93">
        <v>2.8</v>
      </c>
      <c r="IFD8" s="110" t="s">
        <v>139</v>
      </c>
      <c r="IFE8" s="111">
        <v>3.1</v>
      </c>
      <c r="IFF8" s="111">
        <v>2.2000000000000002</v>
      </c>
      <c r="IFG8" s="111">
        <v>2.1</v>
      </c>
      <c r="IFH8" s="111">
        <v>1.5</v>
      </c>
      <c r="IFI8" s="111">
        <v>2</v>
      </c>
      <c r="IFJ8" s="111">
        <v>3.3</v>
      </c>
      <c r="IFN8" s="93">
        <v>2.2000000000000002</v>
      </c>
      <c r="IFO8" s="93">
        <v>2.8</v>
      </c>
      <c r="IGJ8" s="110" t="s">
        <v>139</v>
      </c>
      <c r="IGK8" s="111">
        <v>3.1</v>
      </c>
      <c r="IGL8" s="111">
        <v>2.2000000000000002</v>
      </c>
      <c r="IGM8" s="111">
        <v>2.1</v>
      </c>
      <c r="IGN8" s="111">
        <v>1.5</v>
      </c>
      <c r="IGO8" s="111">
        <v>2</v>
      </c>
      <c r="IGP8" s="111">
        <v>3.3</v>
      </c>
      <c r="IGT8" s="93">
        <v>2.2000000000000002</v>
      </c>
      <c r="IGU8" s="93">
        <v>2.8</v>
      </c>
      <c r="IHP8" s="110" t="s">
        <v>139</v>
      </c>
      <c r="IHQ8" s="111">
        <v>3.1</v>
      </c>
      <c r="IHR8" s="111">
        <v>2.2000000000000002</v>
      </c>
      <c r="IHS8" s="111">
        <v>2.1</v>
      </c>
      <c r="IHT8" s="111">
        <v>1.5</v>
      </c>
      <c r="IHU8" s="111">
        <v>2</v>
      </c>
      <c r="IHV8" s="111">
        <v>3.3</v>
      </c>
      <c r="IHZ8" s="93">
        <v>2.2000000000000002</v>
      </c>
      <c r="IIA8" s="93">
        <v>2.8</v>
      </c>
      <c r="IIV8" s="110" t="s">
        <v>139</v>
      </c>
      <c r="IIW8" s="111">
        <v>3.1</v>
      </c>
      <c r="IIX8" s="111">
        <v>2.2000000000000002</v>
      </c>
      <c r="IIY8" s="111">
        <v>2.1</v>
      </c>
      <c r="IIZ8" s="111">
        <v>1.5</v>
      </c>
      <c r="IJA8" s="111">
        <v>2</v>
      </c>
      <c r="IJB8" s="111">
        <v>3.3</v>
      </c>
      <c r="IJF8" s="93">
        <v>2.2000000000000002</v>
      </c>
      <c r="IJG8" s="93">
        <v>2.8</v>
      </c>
      <c r="IKB8" s="110" t="s">
        <v>139</v>
      </c>
      <c r="IKC8" s="111">
        <v>3.1</v>
      </c>
      <c r="IKD8" s="111">
        <v>2.2000000000000002</v>
      </c>
      <c r="IKE8" s="111">
        <v>2.1</v>
      </c>
      <c r="IKF8" s="111">
        <v>1.5</v>
      </c>
      <c r="IKG8" s="111">
        <v>2</v>
      </c>
      <c r="IKH8" s="111">
        <v>3.3</v>
      </c>
      <c r="IKL8" s="93">
        <v>2.2000000000000002</v>
      </c>
      <c r="IKM8" s="93">
        <v>2.8</v>
      </c>
      <c r="ILH8" s="110" t="s">
        <v>139</v>
      </c>
      <c r="ILI8" s="111">
        <v>3.1</v>
      </c>
      <c r="ILJ8" s="111">
        <v>2.2000000000000002</v>
      </c>
      <c r="ILK8" s="111">
        <v>2.1</v>
      </c>
      <c r="ILL8" s="111">
        <v>1.5</v>
      </c>
      <c r="ILM8" s="111">
        <v>2</v>
      </c>
      <c r="ILN8" s="111">
        <v>3.3</v>
      </c>
      <c r="ILR8" s="93">
        <v>2.2000000000000002</v>
      </c>
      <c r="ILS8" s="93">
        <v>2.8</v>
      </c>
      <c r="IMN8" s="110" t="s">
        <v>139</v>
      </c>
      <c r="IMO8" s="111">
        <v>3.1</v>
      </c>
      <c r="IMP8" s="111">
        <v>2.2000000000000002</v>
      </c>
      <c r="IMQ8" s="111">
        <v>2.1</v>
      </c>
      <c r="IMR8" s="111">
        <v>1.5</v>
      </c>
      <c r="IMS8" s="111">
        <v>2</v>
      </c>
      <c r="IMT8" s="111">
        <v>3.3</v>
      </c>
      <c r="IMX8" s="93">
        <v>2.2000000000000002</v>
      </c>
      <c r="IMY8" s="93">
        <v>2.8</v>
      </c>
      <c r="INT8" s="110" t="s">
        <v>139</v>
      </c>
      <c r="INU8" s="111">
        <v>3.1</v>
      </c>
      <c r="INV8" s="111">
        <v>2.2000000000000002</v>
      </c>
      <c r="INW8" s="111">
        <v>2.1</v>
      </c>
      <c r="INX8" s="111">
        <v>1.5</v>
      </c>
      <c r="INY8" s="111">
        <v>2</v>
      </c>
      <c r="INZ8" s="111">
        <v>3.3</v>
      </c>
      <c r="IOD8" s="93">
        <v>2.2000000000000002</v>
      </c>
      <c r="IOE8" s="93">
        <v>2.8</v>
      </c>
      <c r="IOZ8" s="110" t="s">
        <v>139</v>
      </c>
      <c r="IPA8" s="111">
        <v>3.1</v>
      </c>
      <c r="IPB8" s="111">
        <v>2.2000000000000002</v>
      </c>
      <c r="IPC8" s="111">
        <v>2.1</v>
      </c>
      <c r="IPD8" s="111">
        <v>1.5</v>
      </c>
      <c r="IPE8" s="111">
        <v>2</v>
      </c>
      <c r="IPF8" s="111">
        <v>3.3</v>
      </c>
      <c r="IPJ8" s="93">
        <v>2.2000000000000002</v>
      </c>
      <c r="IPK8" s="93">
        <v>2.8</v>
      </c>
      <c r="IQF8" s="110" t="s">
        <v>139</v>
      </c>
      <c r="IQG8" s="111">
        <v>3.1</v>
      </c>
      <c r="IQH8" s="111">
        <v>2.2000000000000002</v>
      </c>
      <c r="IQI8" s="111">
        <v>2.1</v>
      </c>
      <c r="IQJ8" s="111">
        <v>1.5</v>
      </c>
      <c r="IQK8" s="111">
        <v>2</v>
      </c>
      <c r="IQL8" s="111">
        <v>3.3</v>
      </c>
      <c r="IQP8" s="93">
        <v>2.2000000000000002</v>
      </c>
      <c r="IQQ8" s="93">
        <v>2.8</v>
      </c>
      <c r="IRL8" s="110" t="s">
        <v>139</v>
      </c>
      <c r="IRM8" s="111">
        <v>3.1</v>
      </c>
      <c r="IRN8" s="111">
        <v>2.2000000000000002</v>
      </c>
      <c r="IRO8" s="111">
        <v>2.1</v>
      </c>
      <c r="IRP8" s="111">
        <v>1.5</v>
      </c>
      <c r="IRQ8" s="111">
        <v>2</v>
      </c>
      <c r="IRR8" s="111">
        <v>3.3</v>
      </c>
      <c r="IRV8" s="93">
        <v>2.2000000000000002</v>
      </c>
      <c r="IRW8" s="93">
        <v>2.8</v>
      </c>
      <c r="ISR8" s="110" t="s">
        <v>139</v>
      </c>
      <c r="ISS8" s="111">
        <v>3.1</v>
      </c>
      <c r="IST8" s="111">
        <v>2.2000000000000002</v>
      </c>
      <c r="ISU8" s="111">
        <v>2.1</v>
      </c>
      <c r="ISV8" s="111">
        <v>1.5</v>
      </c>
      <c r="ISW8" s="111">
        <v>2</v>
      </c>
      <c r="ISX8" s="111">
        <v>3.3</v>
      </c>
      <c r="ITB8" s="93">
        <v>2.2000000000000002</v>
      </c>
      <c r="ITC8" s="93">
        <v>2.8</v>
      </c>
      <c r="ITX8" s="110" t="s">
        <v>139</v>
      </c>
      <c r="ITY8" s="111">
        <v>3.1</v>
      </c>
      <c r="ITZ8" s="111">
        <v>2.2000000000000002</v>
      </c>
      <c r="IUA8" s="111">
        <v>2.1</v>
      </c>
      <c r="IUB8" s="111">
        <v>1.5</v>
      </c>
      <c r="IUC8" s="111">
        <v>2</v>
      </c>
      <c r="IUD8" s="111">
        <v>3.3</v>
      </c>
      <c r="IUH8" s="93">
        <v>2.2000000000000002</v>
      </c>
      <c r="IUI8" s="93">
        <v>2.8</v>
      </c>
      <c r="IVD8" s="110" t="s">
        <v>139</v>
      </c>
      <c r="IVE8" s="111">
        <v>3.1</v>
      </c>
      <c r="IVF8" s="111">
        <v>2.2000000000000002</v>
      </c>
      <c r="IVG8" s="111">
        <v>2.1</v>
      </c>
      <c r="IVH8" s="111">
        <v>1.5</v>
      </c>
      <c r="IVI8" s="111">
        <v>2</v>
      </c>
      <c r="IVJ8" s="111">
        <v>3.3</v>
      </c>
      <c r="IVN8" s="93">
        <v>2.2000000000000002</v>
      </c>
      <c r="IVO8" s="93">
        <v>2.8</v>
      </c>
      <c r="IWJ8" s="110" t="s">
        <v>139</v>
      </c>
      <c r="IWK8" s="111">
        <v>3.1</v>
      </c>
      <c r="IWL8" s="111">
        <v>2.2000000000000002</v>
      </c>
      <c r="IWM8" s="111">
        <v>2.1</v>
      </c>
      <c r="IWN8" s="111">
        <v>1.5</v>
      </c>
      <c r="IWO8" s="111">
        <v>2</v>
      </c>
      <c r="IWP8" s="111">
        <v>3.3</v>
      </c>
      <c r="IWT8" s="93">
        <v>2.2000000000000002</v>
      </c>
      <c r="IWU8" s="93">
        <v>2.8</v>
      </c>
      <c r="IXP8" s="110" t="s">
        <v>139</v>
      </c>
      <c r="IXQ8" s="111">
        <v>3.1</v>
      </c>
      <c r="IXR8" s="111">
        <v>2.2000000000000002</v>
      </c>
      <c r="IXS8" s="111">
        <v>2.1</v>
      </c>
      <c r="IXT8" s="111">
        <v>1.5</v>
      </c>
      <c r="IXU8" s="111">
        <v>2</v>
      </c>
      <c r="IXV8" s="111">
        <v>3.3</v>
      </c>
      <c r="IXZ8" s="93">
        <v>2.2000000000000002</v>
      </c>
      <c r="IYA8" s="93">
        <v>2.8</v>
      </c>
      <c r="IYV8" s="110" t="s">
        <v>139</v>
      </c>
      <c r="IYW8" s="111">
        <v>3.1</v>
      </c>
      <c r="IYX8" s="111">
        <v>2.2000000000000002</v>
      </c>
      <c r="IYY8" s="111">
        <v>2.1</v>
      </c>
      <c r="IYZ8" s="111">
        <v>1.5</v>
      </c>
      <c r="IZA8" s="111">
        <v>2</v>
      </c>
      <c r="IZB8" s="111">
        <v>3.3</v>
      </c>
      <c r="IZF8" s="93">
        <v>2.2000000000000002</v>
      </c>
      <c r="IZG8" s="93">
        <v>2.8</v>
      </c>
      <c r="JAB8" s="110" t="s">
        <v>139</v>
      </c>
      <c r="JAC8" s="111">
        <v>3.1</v>
      </c>
      <c r="JAD8" s="111">
        <v>2.2000000000000002</v>
      </c>
      <c r="JAE8" s="111">
        <v>2.1</v>
      </c>
      <c r="JAF8" s="111">
        <v>1.5</v>
      </c>
      <c r="JAG8" s="111">
        <v>2</v>
      </c>
      <c r="JAH8" s="111">
        <v>3.3</v>
      </c>
      <c r="JAL8" s="93">
        <v>2.2000000000000002</v>
      </c>
      <c r="JAM8" s="93">
        <v>2.8</v>
      </c>
      <c r="JBH8" s="110" t="s">
        <v>139</v>
      </c>
      <c r="JBI8" s="111">
        <v>3.1</v>
      </c>
      <c r="JBJ8" s="111">
        <v>2.2000000000000002</v>
      </c>
      <c r="JBK8" s="111">
        <v>2.1</v>
      </c>
      <c r="JBL8" s="111">
        <v>1.5</v>
      </c>
      <c r="JBM8" s="111">
        <v>2</v>
      </c>
      <c r="JBN8" s="111">
        <v>3.3</v>
      </c>
      <c r="JBR8" s="93">
        <v>2.2000000000000002</v>
      </c>
      <c r="JBS8" s="93">
        <v>2.8</v>
      </c>
      <c r="JCN8" s="110" t="s">
        <v>139</v>
      </c>
      <c r="JCO8" s="111">
        <v>3.1</v>
      </c>
      <c r="JCP8" s="111">
        <v>2.2000000000000002</v>
      </c>
      <c r="JCQ8" s="111">
        <v>2.1</v>
      </c>
      <c r="JCR8" s="111">
        <v>1.5</v>
      </c>
      <c r="JCS8" s="111">
        <v>2</v>
      </c>
      <c r="JCT8" s="111">
        <v>3.3</v>
      </c>
      <c r="JCX8" s="93">
        <v>2.2000000000000002</v>
      </c>
      <c r="JCY8" s="93">
        <v>2.8</v>
      </c>
      <c r="JDT8" s="110" t="s">
        <v>139</v>
      </c>
      <c r="JDU8" s="111">
        <v>3.1</v>
      </c>
      <c r="JDV8" s="111">
        <v>2.2000000000000002</v>
      </c>
      <c r="JDW8" s="111">
        <v>2.1</v>
      </c>
      <c r="JDX8" s="111">
        <v>1.5</v>
      </c>
      <c r="JDY8" s="111">
        <v>2</v>
      </c>
      <c r="JDZ8" s="111">
        <v>3.3</v>
      </c>
      <c r="JED8" s="93">
        <v>2.2000000000000002</v>
      </c>
      <c r="JEE8" s="93">
        <v>2.8</v>
      </c>
      <c r="JEZ8" s="110" t="s">
        <v>139</v>
      </c>
      <c r="JFA8" s="111">
        <v>3.1</v>
      </c>
      <c r="JFB8" s="111">
        <v>2.2000000000000002</v>
      </c>
      <c r="JFC8" s="111">
        <v>2.1</v>
      </c>
      <c r="JFD8" s="111">
        <v>1.5</v>
      </c>
      <c r="JFE8" s="111">
        <v>2</v>
      </c>
      <c r="JFF8" s="111">
        <v>3.3</v>
      </c>
      <c r="JFJ8" s="93">
        <v>2.2000000000000002</v>
      </c>
      <c r="JFK8" s="93">
        <v>2.8</v>
      </c>
      <c r="JGF8" s="110" t="s">
        <v>139</v>
      </c>
      <c r="JGG8" s="111">
        <v>3.1</v>
      </c>
      <c r="JGH8" s="111">
        <v>2.2000000000000002</v>
      </c>
      <c r="JGI8" s="111">
        <v>2.1</v>
      </c>
      <c r="JGJ8" s="111">
        <v>1.5</v>
      </c>
      <c r="JGK8" s="111">
        <v>2</v>
      </c>
      <c r="JGL8" s="111">
        <v>3.3</v>
      </c>
      <c r="JGP8" s="93">
        <v>2.2000000000000002</v>
      </c>
      <c r="JGQ8" s="93">
        <v>2.8</v>
      </c>
      <c r="JHL8" s="110" t="s">
        <v>139</v>
      </c>
      <c r="JHM8" s="111">
        <v>3.1</v>
      </c>
      <c r="JHN8" s="111">
        <v>2.2000000000000002</v>
      </c>
      <c r="JHO8" s="111">
        <v>2.1</v>
      </c>
      <c r="JHP8" s="111">
        <v>1.5</v>
      </c>
      <c r="JHQ8" s="111">
        <v>2</v>
      </c>
      <c r="JHR8" s="111">
        <v>3.3</v>
      </c>
      <c r="JHV8" s="93">
        <v>2.2000000000000002</v>
      </c>
      <c r="JHW8" s="93">
        <v>2.8</v>
      </c>
      <c r="JIR8" s="110" t="s">
        <v>139</v>
      </c>
      <c r="JIS8" s="111">
        <v>3.1</v>
      </c>
      <c r="JIT8" s="111">
        <v>2.2000000000000002</v>
      </c>
      <c r="JIU8" s="111">
        <v>2.1</v>
      </c>
      <c r="JIV8" s="111">
        <v>1.5</v>
      </c>
      <c r="JIW8" s="111">
        <v>2</v>
      </c>
      <c r="JIX8" s="111">
        <v>3.3</v>
      </c>
      <c r="JJB8" s="93">
        <v>2.2000000000000002</v>
      </c>
      <c r="JJC8" s="93">
        <v>2.8</v>
      </c>
      <c r="JJX8" s="110" t="s">
        <v>139</v>
      </c>
      <c r="JJY8" s="111">
        <v>3.1</v>
      </c>
      <c r="JJZ8" s="111">
        <v>2.2000000000000002</v>
      </c>
      <c r="JKA8" s="111">
        <v>2.1</v>
      </c>
      <c r="JKB8" s="111">
        <v>1.5</v>
      </c>
      <c r="JKC8" s="111">
        <v>2</v>
      </c>
      <c r="JKD8" s="111">
        <v>3.3</v>
      </c>
      <c r="JKH8" s="93">
        <v>2.2000000000000002</v>
      </c>
      <c r="JKI8" s="93">
        <v>2.8</v>
      </c>
      <c r="JLD8" s="110" t="s">
        <v>139</v>
      </c>
      <c r="JLE8" s="111">
        <v>3.1</v>
      </c>
      <c r="JLF8" s="111">
        <v>2.2000000000000002</v>
      </c>
      <c r="JLG8" s="111">
        <v>2.1</v>
      </c>
      <c r="JLH8" s="111">
        <v>1.5</v>
      </c>
      <c r="JLI8" s="111">
        <v>2</v>
      </c>
      <c r="JLJ8" s="111">
        <v>3.3</v>
      </c>
      <c r="JLN8" s="93">
        <v>2.2000000000000002</v>
      </c>
      <c r="JLO8" s="93">
        <v>2.8</v>
      </c>
      <c r="JMJ8" s="110" t="s">
        <v>139</v>
      </c>
      <c r="JMK8" s="111">
        <v>3.1</v>
      </c>
      <c r="JML8" s="111">
        <v>2.2000000000000002</v>
      </c>
      <c r="JMM8" s="111">
        <v>2.1</v>
      </c>
      <c r="JMN8" s="111">
        <v>1.5</v>
      </c>
      <c r="JMO8" s="111">
        <v>2</v>
      </c>
      <c r="JMP8" s="111">
        <v>3.3</v>
      </c>
      <c r="JMT8" s="93">
        <v>2.2000000000000002</v>
      </c>
      <c r="JMU8" s="93">
        <v>2.8</v>
      </c>
      <c r="JNP8" s="110" t="s">
        <v>139</v>
      </c>
      <c r="JNQ8" s="111">
        <v>3.1</v>
      </c>
      <c r="JNR8" s="111">
        <v>2.2000000000000002</v>
      </c>
      <c r="JNS8" s="111">
        <v>2.1</v>
      </c>
      <c r="JNT8" s="111">
        <v>1.5</v>
      </c>
      <c r="JNU8" s="111">
        <v>2</v>
      </c>
      <c r="JNV8" s="111">
        <v>3.3</v>
      </c>
      <c r="JNZ8" s="93">
        <v>2.2000000000000002</v>
      </c>
      <c r="JOA8" s="93">
        <v>2.8</v>
      </c>
      <c r="JOV8" s="110" t="s">
        <v>139</v>
      </c>
      <c r="JOW8" s="111">
        <v>3.1</v>
      </c>
      <c r="JOX8" s="111">
        <v>2.2000000000000002</v>
      </c>
      <c r="JOY8" s="111">
        <v>2.1</v>
      </c>
      <c r="JOZ8" s="111">
        <v>1.5</v>
      </c>
      <c r="JPA8" s="111">
        <v>2</v>
      </c>
      <c r="JPB8" s="111">
        <v>3.3</v>
      </c>
      <c r="JPF8" s="93">
        <v>2.2000000000000002</v>
      </c>
      <c r="JPG8" s="93">
        <v>2.8</v>
      </c>
      <c r="JQB8" s="110" t="s">
        <v>139</v>
      </c>
      <c r="JQC8" s="111">
        <v>3.1</v>
      </c>
      <c r="JQD8" s="111">
        <v>2.2000000000000002</v>
      </c>
      <c r="JQE8" s="111">
        <v>2.1</v>
      </c>
      <c r="JQF8" s="111">
        <v>1.5</v>
      </c>
      <c r="JQG8" s="111">
        <v>2</v>
      </c>
      <c r="JQH8" s="111">
        <v>3.3</v>
      </c>
      <c r="JQL8" s="93">
        <v>2.2000000000000002</v>
      </c>
      <c r="JQM8" s="93">
        <v>2.8</v>
      </c>
      <c r="JRH8" s="110" t="s">
        <v>139</v>
      </c>
      <c r="JRI8" s="111">
        <v>3.1</v>
      </c>
      <c r="JRJ8" s="111">
        <v>2.2000000000000002</v>
      </c>
      <c r="JRK8" s="111">
        <v>2.1</v>
      </c>
      <c r="JRL8" s="111">
        <v>1.5</v>
      </c>
      <c r="JRM8" s="111">
        <v>2</v>
      </c>
      <c r="JRN8" s="111">
        <v>3.3</v>
      </c>
      <c r="JRR8" s="93">
        <v>2.2000000000000002</v>
      </c>
      <c r="JRS8" s="93">
        <v>2.8</v>
      </c>
      <c r="JSN8" s="110" t="s">
        <v>139</v>
      </c>
      <c r="JSO8" s="111">
        <v>3.1</v>
      </c>
      <c r="JSP8" s="111">
        <v>2.2000000000000002</v>
      </c>
      <c r="JSQ8" s="111">
        <v>2.1</v>
      </c>
      <c r="JSR8" s="111">
        <v>1.5</v>
      </c>
      <c r="JSS8" s="111">
        <v>2</v>
      </c>
      <c r="JST8" s="111">
        <v>3.3</v>
      </c>
      <c r="JSX8" s="93">
        <v>2.2000000000000002</v>
      </c>
      <c r="JSY8" s="93">
        <v>2.8</v>
      </c>
      <c r="JTT8" s="110" t="s">
        <v>139</v>
      </c>
      <c r="JTU8" s="111">
        <v>3.1</v>
      </c>
      <c r="JTV8" s="111">
        <v>2.2000000000000002</v>
      </c>
      <c r="JTW8" s="111">
        <v>2.1</v>
      </c>
      <c r="JTX8" s="111">
        <v>1.5</v>
      </c>
      <c r="JTY8" s="111">
        <v>2</v>
      </c>
      <c r="JTZ8" s="111">
        <v>3.3</v>
      </c>
      <c r="JUD8" s="93">
        <v>2.2000000000000002</v>
      </c>
      <c r="JUE8" s="93">
        <v>2.8</v>
      </c>
      <c r="JUZ8" s="110" t="s">
        <v>139</v>
      </c>
      <c r="JVA8" s="111">
        <v>3.1</v>
      </c>
      <c r="JVB8" s="111">
        <v>2.2000000000000002</v>
      </c>
      <c r="JVC8" s="111">
        <v>2.1</v>
      </c>
      <c r="JVD8" s="111">
        <v>1.5</v>
      </c>
      <c r="JVE8" s="111">
        <v>2</v>
      </c>
      <c r="JVF8" s="111">
        <v>3.3</v>
      </c>
      <c r="JVJ8" s="93">
        <v>2.2000000000000002</v>
      </c>
      <c r="JVK8" s="93">
        <v>2.8</v>
      </c>
      <c r="JWF8" s="110" t="s">
        <v>139</v>
      </c>
      <c r="JWG8" s="111">
        <v>3.1</v>
      </c>
      <c r="JWH8" s="111">
        <v>2.2000000000000002</v>
      </c>
      <c r="JWI8" s="111">
        <v>2.1</v>
      </c>
      <c r="JWJ8" s="111">
        <v>1.5</v>
      </c>
      <c r="JWK8" s="111">
        <v>2</v>
      </c>
      <c r="JWL8" s="111">
        <v>3.3</v>
      </c>
      <c r="JWP8" s="93">
        <v>2.2000000000000002</v>
      </c>
      <c r="JWQ8" s="93">
        <v>2.8</v>
      </c>
      <c r="JXL8" s="110" t="s">
        <v>139</v>
      </c>
      <c r="JXM8" s="111">
        <v>3.1</v>
      </c>
      <c r="JXN8" s="111">
        <v>2.2000000000000002</v>
      </c>
      <c r="JXO8" s="111">
        <v>2.1</v>
      </c>
      <c r="JXP8" s="111">
        <v>1.5</v>
      </c>
      <c r="JXQ8" s="111">
        <v>2</v>
      </c>
      <c r="JXR8" s="111">
        <v>3.3</v>
      </c>
      <c r="JXV8" s="93">
        <v>2.2000000000000002</v>
      </c>
      <c r="JXW8" s="93">
        <v>2.8</v>
      </c>
      <c r="JYR8" s="110" t="s">
        <v>139</v>
      </c>
      <c r="JYS8" s="111">
        <v>3.1</v>
      </c>
      <c r="JYT8" s="111">
        <v>2.2000000000000002</v>
      </c>
      <c r="JYU8" s="111">
        <v>2.1</v>
      </c>
      <c r="JYV8" s="111">
        <v>1.5</v>
      </c>
      <c r="JYW8" s="111">
        <v>2</v>
      </c>
      <c r="JYX8" s="111">
        <v>3.3</v>
      </c>
      <c r="JZB8" s="93">
        <v>2.2000000000000002</v>
      </c>
      <c r="JZC8" s="93">
        <v>2.8</v>
      </c>
      <c r="JZX8" s="110" t="s">
        <v>139</v>
      </c>
      <c r="JZY8" s="111">
        <v>3.1</v>
      </c>
      <c r="JZZ8" s="111">
        <v>2.2000000000000002</v>
      </c>
      <c r="KAA8" s="111">
        <v>2.1</v>
      </c>
      <c r="KAB8" s="111">
        <v>1.5</v>
      </c>
      <c r="KAC8" s="111">
        <v>2</v>
      </c>
      <c r="KAD8" s="111">
        <v>3.3</v>
      </c>
      <c r="KAH8" s="93">
        <v>2.2000000000000002</v>
      </c>
      <c r="KAI8" s="93">
        <v>2.8</v>
      </c>
      <c r="KBD8" s="110" t="s">
        <v>139</v>
      </c>
      <c r="KBE8" s="111">
        <v>3.1</v>
      </c>
      <c r="KBF8" s="111">
        <v>2.2000000000000002</v>
      </c>
      <c r="KBG8" s="111">
        <v>2.1</v>
      </c>
      <c r="KBH8" s="111">
        <v>1.5</v>
      </c>
      <c r="KBI8" s="111">
        <v>2</v>
      </c>
      <c r="KBJ8" s="111">
        <v>3.3</v>
      </c>
      <c r="KBN8" s="93">
        <v>2.2000000000000002</v>
      </c>
      <c r="KBO8" s="93">
        <v>2.8</v>
      </c>
      <c r="KCJ8" s="110" t="s">
        <v>139</v>
      </c>
      <c r="KCK8" s="111">
        <v>3.1</v>
      </c>
      <c r="KCL8" s="111">
        <v>2.2000000000000002</v>
      </c>
      <c r="KCM8" s="111">
        <v>2.1</v>
      </c>
      <c r="KCN8" s="111">
        <v>1.5</v>
      </c>
      <c r="KCO8" s="111">
        <v>2</v>
      </c>
      <c r="KCP8" s="111">
        <v>3.3</v>
      </c>
      <c r="KCT8" s="93">
        <v>2.2000000000000002</v>
      </c>
      <c r="KCU8" s="93">
        <v>2.8</v>
      </c>
      <c r="KDP8" s="110" t="s">
        <v>139</v>
      </c>
      <c r="KDQ8" s="111">
        <v>3.1</v>
      </c>
      <c r="KDR8" s="111">
        <v>2.2000000000000002</v>
      </c>
      <c r="KDS8" s="111">
        <v>2.1</v>
      </c>
      <c r="KDT8" s="111">
        <v>1.5</v>
      </c>
      <c r="KDU8" s="111">
        <v>2</v>
      </c>
      <c r="KDV8" s="111">
        <v>3.3</v>
      </c>
      <c r="KDZ8" s="93">
        <v>2.2000000000000002</v>
      </c>
      <c r="KEA8" s="93">
        <v>2.8</v>
      </c>
      <c r="KEV8" s="110" t="s">
        <v>139</v>
      </c>
      <c r="KEW8" s="111">
        <v>3.1</v>
      </c>
      <c r="KEX8" s="111">
        <v>2.2000000000000002</v>
      </c>
      <c r="KEY8" s="111">
        <v>2.1</v>
      </c>
      <c r="KEZ8" s="111">
        <v>1.5</v>
      </c>
      <c r="KFA8" s="111">
        <v>2</v>
      </c>
      <c r="KFB8" s="111">
        <v>3.3</v>
      </c>
      <c r="KFF8" s="93">
        <v>2.2000000000000002</v>
      </c>
      <c r="KFG8" s="93">
        <v>2.8</v>
      </c>
      <c r="KGB8" s="110" t="s">
        <v>139</v>
      </c>
      <c r="KGC8" s="111">
        <v>3.1</v>
      </c>
      <c r="KGD8" s="111">
        <v>2.2000000000000002</v>
      </c>
      <c r="KGE8" s="111">
        <v>2.1</v>
      </c>
      <c r="KGF8" s="111">
        <v>1.5</v>
      </c>
      <c r="KGG8" s="111">
        <v>2</v>
      </c>
      <c r="KGH8" s="111">
        <v>3.3</v>
      </c>
      <c r="KGL8" s="93">
        <v>2.2000000000000002</v>
      </c>
      <c r="KGM8" s="93">
        <v>2.8</v>
      </c>
      <c r="KHH8" s="110" t="s">
        <v>139</v>
      </c>
      <c r="KHI8" s="111">
        <v>3.1</v>
      </c>
      <c r="KHJ8" s="111">
        <v>2.2000000000000002</v>
      </c>
      <c r="KHK8" s="111">
        <v>2.1</v>
      </c>
      <c r="KHL8" s="111">
        <v>1.5</v>
      </c>
      <c r="KHM8" s="111">
        <v>2</v>
      </c>
      <c r="KHN8" s="111">
        <v>3.3</v>
      </c>
      <c r="KHR8" s="93">
        <v>2.2000000000000002</v>
      </c>
      <c r="KHS8" s="93">
        <v>2.8</v>
      </c>
      <c r="KIN8" s="110" t="s">
        <v>139</v>
      </c>
      <c r="KIO8" s="111">
        <v>3.1</v>
      </c>
      <c r="KIP8" s="111">
        <v>2.2000000000000002</v>
      </c>
      <c r="KIQ8" s="111">
        <v>2.1</v>
      </c>
      <c r="KIR8" s="111">
        <v>1.5</v>
      </c>
      <c r="KIS8" s="111">
        <v>2</v>
      </c>
      <c r="KIT8" s="111">
        <v>3.3</v>
      </c>
      <c r="KIX8" s="93">
        <v>2.2000000000000002</v>
      </c>
      <c r="KIY8" s="93">
        <v>2.8</v>
      </c>
      <c r="KJT8" s="110" t="s">
        <v>139</v>
      </c>
      <c r="KJU8" s="111">
        <v>3.1</v>
      </c>
      <c r="KJV8" s="111">
        <v>2.2000000000000002</v>
      </c>
      <c r="KJW8" s="111">
        <v>2.1</v>
      </c>
      <c r="KJX8" s="111">
        <v>1.5</v>
      </c>
      <c r="KJY8" s="111">
        <v>2</v>
      </c>
      <c r="KJZ8" s="111">
        <v>3.3</v>
      </c>
      <c r="KKD8" s="93">
        <v>2.2000000000000002</v>
      </c>
      <c r="KKE8" s="93">
        <v>2.8</v>
      </c>
      <c r="KKZ8" s="110" t="s">
        <v>139</v>
      </c>
      <c r="KLA8" s="111">
        <v>3.1</v>
      </c>
      <c r="KLB8" s="111">
        <v>2.2000000000000002</v>
      </c>
      <c r="KLC8" s="111">
        <v>2.1</v>
      </c>
      <c r="KLD8" s="111">
        <v>1.5</v>
      </c>
      <c r="KLE8" s="111">
        <v>2</v>
      </c>
      <c r="KLF8" s="111">
        <v>3.3</v>
      </c>
      <c r="KLJ8" s="93">
        <v>2.2000000000000002</v>
      </c>
      <c r="KLK8" s="93">
        <v>2.8</v>
      </c>
      <c r="KMF8" s="110" t="s">
        <v>139</v>
      </c>
      <c r="KMG8" s="111">
        <v>3.1</v>
      </c>
      <c r="KMH8" s="111">
        <v>2.2000000000000002</v>
      </c>
      <c r="KMI8" s="111">
        <v>2.1</v>
      </c>
      <c r="KMJ8" s="111">
        <v>1.5</v>
      </c>
      <c r="KMK8" s="111">
        <v>2</v>
      </c>
      <c r="KML8" s="111">
        <v>3.3</v>
      </c>
      <c r="KMP8" s="93">
        <v>2.2000000000000002</v>
      </c>
      <c r="KMQ8" s="93">
        <v>2.8</v>
      </c>
      <c r="KNL8" s="110" t="s">
        <v>139</v>
      </c>
      <c r="KNM8" s="111">
        <v>3.1</v>
      </c>
      <c r="KNN8" s="111">
        <v>2.2000000000000002</v>
      </c>
      <c r="KNO8" s="111">
        <v>2.1</v>
      </c>
      <c r="KNP8" s="111">
        <v>1.5</v>
      </c>
      <c r="KNQ8" s="111">
        <v>2</v>
      </c>
      <c r="KNR8" s="111">
        <v>3.3</v>
      </c>
      <c r="KNV8" s="93">
        <v>2.2000000000000002</v>
      </c>
      <c r="KNW8" s="93">
        <v>2.8</v>
      </c>
      <c r="KOR8" s="110" t="s">
        <v>139</v>
      </c>
      <c r="KOS8" s="111">
        <v>3.1</v>
      </c>
      <c r="KOT8" s="111">
        <v>2.2000000000000002</v>
      </c>
      <c r="KOU8" s="111">
        <v>2.1</v>
      </c>
      <c r="KOV8" s="111">
        <v>1.5</v>
      </c>
      <c r="KOW8" s="111">
        <v>2</v>
      </c>
      <c r="KOX8" s="111">
        <v>3.3</v>
      </c>
      <c r="KPB8" s="93">
        <v>2.2000000000000002</v>
      </c>
      <c r="KPC8" s="93">
        <v>2.8</v>
      </c>
      <c r="KPX8" s="110" t="s">
        <v>139</v>
      </c>
      <c r="KPY8" s="111">
        <v>3.1</v>
      </c>
      <c r="KPZ8" s="111">
        <v>2.2000000000000002</v>
      </c>
      <c r="KQA8" s="111">
        <v>2.1</v>
      </c>
      <c r="KQB8" s="111">
        <v>1.5</v>
      </c>
      <c r="KQC8" s="111">
        <v>2</v>
      </c>
      <c r="KQD8" s="111">
        <v>3.3</v>
      </c>
      <c r="KQH8" s="93">
        <v>2.2000000000000002</v>
      </c>
      <c r="KQI8" s="93">
        <v>2.8</v>
      </c>
      <c r="KRD8" s="110" t="s">
        <v>139</v>
      </c>
      <c r="KRE8" s="111">
        <v>3.1</v>
      </c>
      <c r="KRF8" s="111">
        <v>2.2000000000000002</v>
      </c>
      <c r="KRG8" s="111">
        <v>2.1</v>
      </c>
      <c r="KRH8" s="111">
        <v>1.5</v>
      </c>
      <c r="KRI8" s="111">
        <v>2</v>
      </c>
      <c r="KRJ8" s="111">
        <v>3.3</v>
      </c>
      <c r="KRN8" s="93">
        <v>2.2000000000000002</v>
      </c>
      <c r="KRO8" s="93">
        <v>2.8</v>
      </c>
      <c r="KSJ8" s="110" t="s">
        <v>139</v>
      </c>
      <c r="KSK8" s="111">
        <v>3.1</v>
      </c>
      <c r="KSL8" s="111">
        <v>2.2000000000000002</v>
      </c>
      <c r="KSM8" s="111">
        <v>2.1</v>
      </c>
      <c r="KSN8" s="111">
        <v>1.5</v>
      </c>
      <c r="KSO8" s="111">
        <v>2</v>
      </c>
      <c r="KSP8" s="111">
        <v>3.3</v>
      </c>
      <c r="KST8" s="93">
        <v>2.2000000000000002</v>
      </c>
      <c r="KSU8" s="93">
        <v>2.8</v>
      </c>
      <c r="KTP8" s="110" t="s">
        <v>139</v>
      </c>
      <c r="KTQ8" s="111">
        <v>3.1</v>
      </c>
      <c r="KTR8" s="111">
        <v>2.2000000000000002</v>
      </c>
      <c r="KTS8" s="111">
        <v>2.1</v>
      </c>
      <c r="KTT8" s="111">
        <v>1.5</v>
      </c>
      <c r="KTU8" s="111">
        <v>2</v>
      </c>
      <c r="KTV8" s="111">
        <v>3.3</v>
      </c>
      <c r="KTZ8" s="93">
        <v>2.2000000000000002</v>
      </c>
      <c r="KUA8" s="93">
        <v>2.8</v>
      </c>
      <c r="KUV8" s="110" t="s">
        <v>139</v>
      </c>
      <c r="KUW8" s="111">
        <v>3.1</v>
      </c>
      <c r="KUX8" s="111">
        <v>2.2000000000000002</v>
      </c>
      <c r="KUY8" s="111">
        <v>2.1</v>
      </c>
      <c r="KUZ8" s="111">
        <v>1.5</v>
      </c>
      <c r="KVA8" s="111">
        <v>2</v>
      </c>
      <c r="KVB8" s="111">
        <v>3.3</v>
      </c>
      <c r="KVF8" s="93">
        <v>2.2000000000000002</v>
      </c>
      <c r="KVG8" s="93">
        <v>2.8</v>
      </c>
      <c r="KWB8" s="110" t="s">
        <v>139</v>
      </c>
      <c r="KWC8" s="111">
        <v>3.1</v>
      </c>
      <c r="KWD8" s="111">
        <v>2.2000000000000002</v>
      </c>
      <c r="KWE8" s="111">
        <v>2.1</v>
      </c>
      <c r="KWF8" s="111">
        <v>1.5</v>
      </c>
      <c r="KWG8" s="111">
        <v>2</v>
      </c>
      <c r="KWH8" s="111">
        <v>3.3</v>
      </c>
      <c r="KWL8" s="93">
        <v>2.2000000000000002</v>
      </c>
      <c r="KWM8" s="93">
        <v>2.8</v>
      </c>
      <c r="KXH8" s="110" t="s">
        <v>139</v>
      </c>
      <c r="KXI8" s="111">
        <v>3.1</v>
      </c>
      <c r="KXJ8" s="111">
        <v>2.2000000000000002</v>
      </c>
      <c r="KXK8" s="111">
        <v>2.1</v>
      </c>
      <c r="KXL8" s="111">
        <v>1.5</v>
      </c>
      <c r="KXM8" s="111">
        <v>2</v>
      </c>
      <c r="KXN8" s="111">
        <v>3.3</v>
      </c>
      <c r="KXR8" s="93">
        <v>2.2000000000000002</v>
      </c>
      <c r="KXS8" s="93">
        <v>2.8</v>
      </c>
      <c r="KYN8" s="110" t="s">
        <v>139</v>
      </c>
      <c r="KYO8" s="111">
        <v>3.1</v>
      </c>
      <c r="KYP8" s="111">
        <v>2.2000000000000002</v>
      </c>
      <c r="KYQ8" s="111">
        <v>2.1</v>
      </c>
      <c r="KYR8" s="111">
        <v>1.5</v>
      </c>
      <c r="KYS8" s="111">
        <v>2</v>
      </c>
      <c r="KYT8" s="111">
        <v>3.3</v>
      </c>
      <c r="KYX8" s="93">
        <v>2.2000000000000002</v>
      </c>
      <c r="KYY8" s="93">
        <v>2.8</v>
      </c>
      <c r="KZT8" s="110" t="s">
        <v>139</v>
      </c>
      <c r="KZU8" s="111">
        <v>3.1</v>
      </c>
      <c r="KZV8" s="111">
        <v>2.2000000000000002</v>
      </c>
      <c r="KZW8" s="111">
        <v>2.1</v>
      </c>
      <c r="KZX8" s="111">
        <v>1.5</v>
      </c>
      <c r="KZY8" s="111">
        <v>2</v>
      </c>
      <c r="KZZ8" s="111">
        <v>3.3</v>
      </c>
      <c r="LAD8" s="93">
        <v>2.2000000000000002</v>
      </c>
      <c r="LAE8" s="93">
        <v>2.8</v>
      </c>
      <c r="LAZ8" s="110" t="s">
        <v>139</v>
      </c>
      <c r="LBA8" s="111">
        <v>3.1</v>
      </c>
      <c r="LBB8" s="111">
        <v>2.2000000000000002</v>
      </c>
      <c r="LBC8" s="111">
        <v>2.1</v>
      </c>
      <c r="LBD8" s="111">
        <v>1.5</v>
      </c>
      <c r="LBE8" s="111">
        <v>2</v>
      </c>
      <c r="LBF8" s="111">
        <v>3.3</v>
      </c>
      <c r="LBJ8" s="93">
        <v>2.2000000000000002</v>
      </c>
      <c r="LBK8" s="93">
        <v>2.8</v>
      </c>
      <c r="LCF8" s="110" t="s">
        <v>139</v>
      </c>
      <c r="LCG8" s="111">
        <v>3.1</v>
      </c>
      <c r="LCH8" s="111">
        <v>2.2000000000000002</v>
      </c>
      <c r="LCI8" s="111">
        <v>2.1</v>
      </c>
      <c r="LCJ8" s="111">
        <v>1.5</v>
      </c>
      <c r="LCK8" s="111">
        <v>2</v>
      </c>
      <c r="LCL8" s="111">
        <v>3.3</v>
      </c>
      <c r="LCP8" s="93">
        <v>2.2000000000000002</v>
      </c>
      <c r="LCQ8" s="93">
        <v>2.8</v>
      </c>
      <c r="LDL8" s="110" t="s">
        <v>139</v>
      </c>
      <c r="LDM8" s="111">
        <v>3.1</v>
      </c>
      <c r="LDN8" s="111">
        <v>2.2000000000000002</v>
      </c>
      <c r="LDO8" s="111">
        <v>2.1</v>
      </c>
      <c r="LDP8" s="111">
        <v>1.5</v>
      </c>
      <c r="LDQ8" s="111">
        <v>2</v>
      </c>
      <c r="LDR8" s="111">
        <v>3.3</v>
      </c>
      <c r="LDV8" s="93">
        <v>2.2000000000000002</v>
      </c>
      <c r="LDW8" s="93">
        <v>2.8</v>
      </c>
      <c r="LER8" s="110" t="s">
        <v>139</v>
      </c>
      <c r="LES8" s="111">
        <v>3.1</v>
      </c>
      <c r="LET8" s="111">
        <v>2.2000000000000002</v>
      </c>
      <c r="LEU8" s="111">
        <v>2.1</v>
      </c>
      <c r="LEV8" s="111">
        <v>1.5</v>
      </c>
      <c r="LEW8" s="111">
        <v>2</v>
      </c>
      <c r="LEX8" s="111">
        <v>3.3</v>
      </c>
      <c r="LFB8" s="93">
        <v>2.2000000000000002</v>
      </c>
      <c r="LFC8" s="93">
        <v>2.8</v>
      </c>
      <c r="LFX8" s="110" t="s">
        <v>139</v>
      </c>
      <c r="LFY8" s="111">
        <v>3.1</v>
      </c>
      <c r="LFZ8" s="111">
        <v>2.2000000000000002</v>
      </c>
      <c r="LGA8" s="111">
        <v>2.1</v>
      </c>
      <c r="LGB8" s="111">
        <v>1.5</v>
      </c>
      <c r="LGC8" s="111">
        <v>2</v>
      </c>
      <c r="LGD8" s="111">
        <v>3.3</v>
      </c>
      <c r="LGH8" s="93">
        <v>2.2000000000000002</v>
      </c>
      <c r="LGI8" s="93">
        <v>2.8</v>
      </c>
      <c r="LHD8" s="110" t="s">
        <v>139</v>
      </c>
      <c r="LHE8" s="111">
        <v>3.1</v>
      </c>
      <c r="LHF8" s="111">
        <v>2.2000000000000002</v>
      </c>
      <c r="LHG8" s="111">
        <v>2.1</v>
      </c>
      <c r="LHH8" s="111">
        <v>1.5</v>
      </c>
      <c r="LHI8" s="111">
        <v>2</v>
      </c>
      <c r="LHJ8" s="111">
        <v>3.3</v>
      </c>
      <c r="LHN8" s="93">
        <v>2.2000000000000002</v>
      </c>
      <c r="LHO8" s="93">
        <v>2.8</v>
      </c>
      <c r="LIJ8" s="110" t="s">
        <v>139</v>
      </c>
      <c r="LIK8" s="111">
        <v>3.1</v>
      </c>
      <c r="LIL8" s="111">
        <v>2.2000000000000002</v>
      </c>
      <c r="LIM8" s="111">
        <v>2.1</v>
      </c>
      <c r="LIN8" s="111">
        <v>1.5</v>
      </c>
      <c r="LIO8" s="111">
        <v>2</v>
      </c>
      <c r="LIP8" s="111">
        <v>3.3</v>
      </c>
      <c r="LIT8" s="93">
        <v>2.2000000000000002</v>
      </c>
      <c r="LIU8" s="93">
        <v>2.8</v>
      </c>
      <c r="LJP8" s="110" t="s">
        <v>139</v>
      </c>
      <c r="LJQ8" s="111">
        <v>3.1</v>
      </c>
      <c r="LJR8" s="111">
        <v>2.2000000000000002</v>
      </c>
      <c r="LJS8" s="111">
        <v>2.1</v>
      </c>
      <c r="LJT8" s="111">
        <v>1.5</v>
      </c>
      <c r="LJU8" s="111">
        <v>2</v>
      </c>
      <c r="LJV8" s="111">
        <v>3.3</v>
      </c>
      <c r="LJZ8" s="93">
        <v>2.2000000000000002</v>
      </c>
      <c r="LKA8" s="93">
        <v>2.8</v>
      </c>
      <c r="LKV8" s="110" t="s">
        <v>139</v>
      </c>
      <c r="LKW8" s="111">
        <v>3.1</v>
      </c>
      <c r="LKX8" s="111">
        <v>2.2000000000000002</v>
      </c>
      <c r="LKY8" s="111">
        <v>2.1</v>
      </c>
      <c r="LKZ8" s="111">
        <v>1.5</v>
      </c>
      <c r="LLA8" s="111">
        <v>2</v>
      </c>
      <c r="LLB8" s="111">
        <v>3.3</v>
      </c>
      <c r="LLF8" s="93">
        <v>2.2000000000000002</v>
      </c>
      <c r="LLG8" s="93">
        <v>2.8</v>
      </c>
      <c r="LMB8" s="110" t="s">
        <v>139</v>
      </c>
      <c r="LMC8" s="111">
        <v>3.1</v>
      </c>
      <c r="LMD8" s="111">
        <v>2.2000000000000002</v>
      </c>
      <c r="LME8" s="111">
        <v>2.1</v>
      </c>
      <c r="LMF8" s="111">
        <v>1.5</v>
      </c>
      <c r="LMG8" s="111">
        <v>2</v>
      </c>
      <c r="LMH8" s="111">
        <v>3.3</v>
      </c>
      <c r="LML8" s="93">
        <v>2.2000000000000002</v>
      </c>
      <c r="LMM8" s="93">
        <v>2.8</v>
      </c>
      <c r="LNH8" s="110" t="s">
        <v>139</v>
      </c>
      <c r="LNI8" s="111">
        <v>3.1</v>
      </c>
      <c r="LNJ8" s="111">
        <v>2.2000000000000002</v>
      </c>
      <c r="LNK8" s="111">
        <v>2.1</v>
      </c>
      <c r="LNL8" s="111">
        <v>1.5</v>
      </c>
      <c r="LNM8" s="111">
        <v>2</v>
      </c>
      <c r="LNN8" s="111">
        <v>3.3</v>
      </c>
      <c r="LNR8" s="93">
        <v>2.2000000000000002</v>
      </c>
      <c r="LNS8" s="93">
        <v>2.8</v>
      </c>
      <c r="LON8" s="110" t="s">
        <v>139</v>
      </c>
      <c r="LOO8" s="111">
        <v>3.1</v>
      </c>
      <c r="LOP8" s="111">
        <v>2.2000000000000002</v>
      </c>
      <c r="LOQ8" s="111">
        <v>2.1</v>
      </c>
      <c r="LOR8" s="111">
        <v>1.5</v>
      </c>
      <c r="LOS8" s="111">
        <v>2</v>
      </c>
      <c r="LOT8" s="111">
        <v>3.3</v>
      </c>
      <c r="LOX8" s="93">
        <v>2.2000000000000002</v>
      </c>
      <c r="LOY8" s="93">
        <v>2.8</v>
      </c>
      <c r="LPT8" s="110" t="s">
        <v>139</v>
      </c>
      <c r="LPU8" s="111">
        <v>3.1</v>
      </c>
      <c r="LPV8" s="111">
        <v>2.2000000000000002</v>
      </c>
      <c r="LPW8" s="111">
        <v>2.1</v>
      </c>
      <c r="LPX8" s="111">
        <v>1.5</v>
      </c>
      <c r="LPY8" s="111">
        <v>2</v>
      </c>
      <c r="LPZ8" s="111">
        <v>3.3</v>
      </c>
      <c r="LQD8" s="93">
        <v>2.2000000000000002</v>
      </c>
      <c r="LQE8" s="93">
        <v>2.8</v>
      </c>
      <c r="LQZ8" s="110" t="s">
        <v>139</v>
      </c>
      <c r="LRA8" s="111">
        <v>3.1</v>
      </c>
      <c r="LRB8" s="111">
        <v>2.2000000000000002</v>
      </c>
      <c r="LRC8" s="111">
        <v>2.1</v>
      </c>
      <c r="LRD8" s="111">
        <v>1.5</v>
      </c>
      <c r="LRE8" s="111">
        <v>2</v>
      </c>
      <c r="LRF8" s="111">
        <v>3.3</v>
      </c>
      <c r="LRJ8" s="93">
        <v>2.2000000000000002</v>
      </c>
      <c r="LRK8" s="93">
        <v>2.8</v>
      </c>
      <c r="LSF8" s="110" t="s">
        <v>139</v>
      </c>
      <c r="LSG8" s="111">
        <v>3.1</v>
      </c>
      <c r="LSH8" s="111">
        <v>2.2000000000000002</v>
      </c>
      <c r="LSI8" s="111">
        <v>2.1</v>
      </c>
      <c r="LSJ8" s="111">
        <v>1.5</v>
      </c>
      <c r="LSK8" s="111">
        <v>2</v>
      </c>
      <c r="LSL8" s="111">
        <v>3.3</v>
      </c>
      <c r="LSP8" s="93">
        <v>2.2000000000000002</v>
      </c>
      <c r="LSQ8" s="93">
        <v>2.8</v>
      </c>
      <c r="LTL8" s="110" t="s">
        <v>139</v>
      </c>
      <c r="LTM8" s="111">
        <v>3.1</v>
      </c>
      <c r="LTN8" s="111">
        <v>2.2000000000000002</v>
      </c>
      <c r="LTO8" s="111">
        <v>2.1</v>
      </c>
      <c r="LTP8" s="111">
        <v>1.5</v>
      </c>
      <c r="LTQ8" s="111">
        <v>2</v>
      </c>
      <c r="LTR8" s="111">
        <v>3.3</v>
      </c>
      <c r="LTV8" s="93">
        <v>2.2000000000000002</v>
      </c>
      <c r="LTW8" s="93">
        <v>2.8</v>
      </c>
      <c r="LUR8" s="110" t="s">
        <v>139</v>
      </c>
      <c r="LUS8" s="111">
        <v>3.1</v>
      </c>
      <c r="LUT8" s="111">
        <v>2.2000000000000002</v>
      </c>
      <c r="LUU8" s="111">
        <v>2.1</v>
      </c>
      <c r="LUV8" s="111">
        <v>1.5</v>
      </c>
      <c r="LUW8" s="111">
        <v>2</v>
      </c>
      <c r="LUX8" s="111">
        <v>3.3</v>
      </c>
      <c r="LVB8" s="93">
        <v>2.2000000000000002</v>
      </c>
      <c r="LVC8" s="93">
        <v>2.8</v>
      </c>
      <c r="LVX8" s="110" t="s">
        <v>139</v>
      </c>
      <c r="LVY8" s="111">
        <v>3.1</v>
      </c>
      <c r="LVZ8" s="111">
        <v>2.2000000000000002</v>
      </c>
      <c r="LWA8" s="111">
        <v>2.1</v>
      </c>
      <c r="LWB8" s="111">
        <v>1.5</v>
      </c>
      <c r="LWC8" s="111">
        <v>2</v>
      </c>
      <c r="LWD8" s="111">
        <v>3.3</v>
      </c>
      <c r="LWH8" s="93">
        <v>2.2000000000000002</v>
      </c>
      <c r="LWI8" s="93">
        <v>2.8</v>
      </c>
      <c r="LXD8" s="110" t="s">
        <v>139</v>
      </c>
      <c r="LXE8" s="111">
        <v>3.1</v>
      </c>
      <c r="LXF8" s="111">
        <v>2.2000000000000002</v>
      </c>
      <c r="LXG8" s="111">
        <v>2.1</v>
      </c>
      <c r="LXH8" s="111">
        <v>1.5</v>
      </c>
      <c r="LXI8" s="111">
        <v>2</v>
      </c>
      <c r="LXJ8" s="111">
        <v>3.3</v>
      </c>
      <c r="LXN8" s="93">
        <v>2.2000000000000002</v>
      </c>
      <c r="LXO8" s="93">
        <v>2.8</v>
      </c>
      <c r="LYJ8" s="110" t="s">
        <v>139</v>
      </c>
      <c r="LYK8" s="111">
        <v>3.1</v>
      </c>
      <c r="LYL8" s="111">
        <v>2.2000000000000002</v>
      </c>
      <c r="LYM8" s="111">
        <v>2.1</v>
      </c>
      <c r="LYN8" s="111">
        <v>1.5</v>
      </c>
      <c r="LYO8" s="111">
        <v>2</v>
      </c>
      <c r="LYP8" s="111">
        <v>3.3</v>
      </c>
      <c r="LYT8" s="93">
        <v>2.2000000000000002</v>
      </c>
      <c r="LYU8" s="93">
        <v>2.8</v>
      </c>
      <c r="LZP8" s="110" t="s">
        <v>139</v>
      </c>
      <c r="LZQ8" s="111">
        <v>3.1</v>
      </c>
      <c r="LZR8" s="111">
        <v>2.2000000000000002</v>
      </c>
      <c r="LZS8" s="111">
        <v>2.1</v>
      </c>
      <c r="LZT8" s="111">
        <v>1.5</v>
      </c>
      <c r="LZU8" s="111">
        <v>2</v>
      </c>
      <c r="LZV8" s="111">
        <v>3.3</v>
      </c>
      <c r="LZZ8" s="93">
        <v>2.2000000000000002</v>
      </c>
      <c r="MAA8" s="93">
        <v>2.8</v>
      </c>
      <c r="MAV8" s="110" t="s">
        <v>139</v>
      </c>
      <c r="MAW8" s="111">
        <v>3.1</v>
      </c>
      <c r="MAX8" s="111">
        <v>2.2000000000000002</v>
      </c>
      <c r="MAY8" s="111">
        <v>2.1</v>
      </c>
      <c r="MAZ8" s="111">
        <v>1.5</v>
      </c>
      <c r="MBA8" s="111">
        <v>2</v>
      </c>
      <c r="MBB8" s="111">
        <v>3.3</v>
      </c>
      <c r="MBF8" s="93">
        <v>2.2000000000000002</v>
      </c>
      <c r="MBG8" s="93">
        <v>2.8</v>
      </c>
      <c r="MCB8" s="110" t="s">
        <v>139</v>
      </c>
      <c r="MCC8" s="111">
        <v>3.1</v>
      </c>
      <c r="MCD8" s="111">
        <v>2.2000000000000002</v>
      </c>
      <c r="MCE8" s="111">
        <v>2.1</v>
      </c>
      <c r="MCF8" s="111">
        <v>1.5</v>
      </c>
      <c r="MCG8" s="111">
        <v>2</v>
      </c>
      <c r="MCH8" s="111">
        <v>3.3</v>
      </c>
      <c r="MCL8" s="93">
        <v>2.2000000000000002</v>
      </c>
      <c r="MCM8" s="93">
        <v>2.8</v>
      </c>
      <c r="MDH8" s="110" t="s">
        <v>139</v>
      </c>
      <c r="MDI8" s="111">
        <v>3.1</v>
      </c>
      <c r="MDJ8" s="111">
        <v>2.2000000000000002</v>
      </c>
      <c r="MDK8" s="111">
        <v>2.1</v>
      </c>
      <c r="MDL8" s="111">
        <v>1.5</v>
      </c>
      <c r="MDM8" s="111">
        <v>2</v>
      </c>
      <c r="MDN8" s="111">
        <v>3.3</v>
      </c>
      <c r="MDR8" s="93">
        <v>2.2000000000000002</v>
      </c>
      <c r="MDS8" s="93">
        <v>2.8</v>
      </c>
      <c r="MEN8" s="110" t="s">
        <v>139</v>
      </c>
      <c r="MEO8" s="111">
        <v>3.1</v>
      </c>
      <c r="MEP8" s="111">
        <v>2.2000000000000002</v>
      </c>
      <c r="MEQ8" s="111">
        <v>2.1</v>
      </c>
      <c r="MER8" s="111">
        <v>1.5</v>
      </c>
      <c r="MES8" s="111">
        <v>2</v>
      </c>
      <c r="MET8" s="111">
        <v>3.3</v>
      </c>
      <c r="MEX8" s="93">
        <v>2.2000000000000002</v>
      </c>
      <c r="MEY8" s="93">
        <v>2.8</v>
      </c>
      <c r="MFT8" s="110" t="s">
        <v>139</v>
      </c>
      <c r="MFU8" s="111">
        <v>3.1</v>
      </c>
      <c r="MFV8" s="111">
        <v>2.2000000000000002</v>
      </c>
      <c r="MFW8" s="111">
        <v>2.1</v>
      </c>
      <c r="MFX8" s="111">
        <v>1.5</v>
      </c>
      <c r="MFY8" s="111">
        <v>2</v>
      </c>
      <c r="MFZ8" s="111">
        <v>3.3</v>
      </c>
      <c r="MGD8" s="93">
        <v>2.2000000000000002</v>
      </c>
      <c r="MGE8" s="93">
        <v>2.8</v>
      </c>
      <c r="MGZ8" s="110" t="s">
        <v>139</v>
      </c>
      <c r="MHA8" s="111">
        <v>3.1</v>
      </c>
      <c r="MHB8" s="111">
        <v>2.2000000000000002</v>
      </c>
      <c r="MHC8" s="111">
        <v>2.1</v>
      </c>
      <c r="MHD8" s="111">
        <v>1.5</v>
      </c>
      <c r="MHE8" s="111">
        <v>2</v>
      </c>
      <c r="MHF8" s="111">
        <v>3.3</v>
      </c>
      <c r="MHJ8" s="93">
        <v>2.2000000000000002</v>
      </c>
      <c r="MHK8" s="93">
        <v>2.8</v>
      </c>
      <c r="MIF8" s="110" t="s">
        <v>139</v>
      </c>
      <c r="MIG8" s="111">
        <v>3.1</v>
      </c>
      <c r="MIH8" s="111">
        <v>2.2000000000000002</v>
      </c>
      <c r="MII8" s="111">
        <v>2.1</v>
      </c>
      <c r="MIJ8" s="111">
        <v>1.5</v>
      </c>
      <c r="MIK8" s="111">
        <v>2</v>
      </c>
      <c r="MIL8" s="111">
        <v>3.3</v>
      </c>
      <c r="MIP8" s="93">
        <v>2.2000000000000002</v>
      </c>
      <c r="MIQ8" s="93">
        <v>2.8</v>
      </c>
      <c r="MJL8" s="110" t="s">
        <v>139</v>
      </c>
      <c r="MJM8" s="111">
        <v>3.1</v>
      </c>
      <c r="MJN8" s="111">
        <v>2.2000000000000002</v>
      </c>
      <c r="MJO8" s="111">
        <v>2.1</v>
      </c>
      <c r="MJP8" s="111">
        <v>1.5</v>
      </c>
      <c r="MJQ8" s="111">
        <v>2</v>
      </c>
      <c r="MJR8" s="111">
        <v>3.3</v>
      </c>
      <c r="MJV8" s="93">
        <v>2.2000000000000002</v>
      </c>
      <c r="MJW8" s="93">
        <v>2.8</v>
      </c>
      <c r="MKR8" s="110" t="s">
        <v>139</v>
      </c>
      <c r="MKS8" s="111">
        <v>3.1</v>
      </c>
      <c r="MKT8" s="111">
        <v>2.2000000000000002</v>
      </c>
      <c r="MKU8" s="111">
        <v>2.1</v>
      </c>
      <c r="MKV8" s="111">
        <v>1.5</v>
      </c>
      <c r="MKW8" s="111">
        <v>2</v>
      </c>
      <c r="MKX8" s="111">
        <v>3.3</v>
      </c>
      <c r="MLB8" s="93">
        <v>2.2000000000000002</v>
      </c>
      <c r="MLC8" s="93">
        <v>2.8</v>
      </c>
      <c r="MLX8" s="110" t="s">
        <v>139</v>
      </c>
      <c r="MLY8" s="111">
        <v>3.1</v>
      </c>
      <c r="MLZ8" s="111">
        <v>2.2000000000000002</v>
      </c>
      <c r="MMA8" s="111">
        <v>2.1</v>
      </c>
      <c r="MMB8" s="111">
        <v>1.5</v>
      </c>
      <c r="MMC8" s="111">
        <v>2</v>
      </c>
      <c r="MMD8" s="111">
        <v>3.3</v>
      </c>
      <c r="MMH8" s="93">
        <v>2.2000000000000002</v>
      </c>
      <c r="MMI8" s="93">
        <v>2.8</v>
      </c>
      <c r="MND8" s="110" t="s">
        <v>139</v>
      </c>
      <c r="MNE8" s="111">
        <v>3.1</v>
      </c>
      <c r="MNF8" s="111">
        <v>2.2000000000000002</v>
      </c>
      <c r="MNG8" s="111">
        <v>2.1</v>
      </c>
      <c r="MNH8" s="111">
        <v>1.5</v>
      </c>
      <c r="MNI8" s="111">
        <v>2</v>
      </c>
      <c r="MNJ8" s="111">
        <v>3.3</v>
      </c>
      <c r="MNN8" s="93">
        <v>2.2000000000000002</v>
      </c>
      <c r="MNO8" s="93">
        <v>2.8</v>
      </c>
      <c r="MOJ8" s="110" t="s">
        <v>139</v>
      </c>
      <c r="MOK8" s="111">
        <v>3.1</v>
      </c>
      <c r="MOL8" s="111">
        <v>2.2000000000000002</v>
      </c>
      <c r="MOM8" s="111">
        <v>2.1</v>
      </c>
      <c r="MON8" s="111">
        <v>1.5</v>
      </c>
      <c r="MOO8" s="111">
        <v>2</v>
      </c>
      <c r="MOP8" s="111">
        <v>3.3</v>
      </c>
      <c r="MOT8" s="93">
        <v>2.2000000000000002</v>
      </c>
      <c r="MOU8" s="93">
        <v>2.8</v>
      </c>
      <c r="MPP8" s="110" t="s">
        <v>139</v>
      </c>
      <c r="MPQ8" s="111">
        <v>3.1</v>
      </c>
      <c r="MPR8" s="111">
        <v>2.2000000000000002</v>
      </c>
      <c r="MPS8" s="111">
        <v>2.1</v>
      </c>
      <c r="MPT8" s="111">
        <v>1.5</v>
      </c>
      <c r="MPU8" s="111">
        <v>2</v>
      </c>
      <c r="MPV8" s="111">
        <v>3.3</v>
      </c>
      <c r="MPZ8" s="93">
        <v>2.2000000000000002</v>
      </c>
      <c r="MQA8" s="93">
        <v>2.8</v>
      </c>
      <c r="MQV8" s="110" t="s">
        <v>139</v>
      </c>
      <c r="MQW8" s="111">
        <v>3.1</v>
      </c>
      <c r="MQX8" s="111">
        <v>2.2000000000000002</v>
      </c>
      <c r="MQY8" s="111">
        <v>2.1</v>
      </c>
      <c r="MQZ8" s="111">
        <v>1.5</v>
      </c>
      <c r="MRA8" s="111">
        <v>2</v>
      </c>
      <c r="MRB8" s="111">
        <v>3.3</v>
      </c>
      <c r="MRF8" s="93">
        <v>2.2000000000000002</v>
      </c>
      <c r="MRG8" s="93">
        <v>2.8</v>
      </c>
      <c r="MSB8" s="110" t="s">
        <v>139</v>
      </c>
      <c r="MSC8" s="111">
        <v>3.1</v>
      </c>
      <c r="MSD8" s="111">
        <v>2.2000000000000002</v>
      </c>
      <c r="MSE8" s="111">
        <v>2.1</v>
      </c>
      <c r="MSF8" s="111">
        <v>1.5</v>
      </c>
      <c r="MSG8" s="111">
        <v>2</v>
      </c>
      <c r="MSH8" s="111">
        <v>3.3</v>
      </c>
      <c r="MSL8" s="93">
        <v>2.2000000000000002</v>
      </c>
      <c r="MSM8" s="93">
        <v>2.8</v>
      </c>
      <c r="MTH8" s="110" t="s">
        <v>139</v>
      </c>
      <c r="MTI8" s="111">
        <v>3.1</v>
      </c>
      <c r="MTJ8" s="111">
        <v>2.2000000000000002</v>
      </c>
      <c r="MTK8" s="111">
        <v>2.1</v>
      </c>
      <c r="MTL8" s="111">
        <v>1.5</v>
      </c>
      <c r="MTM8" s="111">
        <v>2</v>
      </c>
      <c r="MTN8" s="111">
        <v>3.3</v>
      </c>
      <c r="MTR8" s="93">
        <v>2.2000000000000002</v>
      </c>
      <c r="MTS8" s="93">
        <v>2.8</v>
      </c>
      <c r="MUN8" s="110" t="s">
        <v>139</v>
      </c>
      <c r="MUO8" s="111">
        <v>3.1</v>
      </c>
      <c r="MUP8" s="111">
        <v>2.2000000000000002</v>
      </c>
      <c r="MUQ8" s="111">
        <v>2.1</v>
      </c>
      <c r="MUR8" s="111">
        <v>1.5</v>
      </c>
      <c r="MUS8" s="111">
        <v>2</v>
      </c>
      <c r="MUT8" s="111">
        <v>3.3</v>
      </c>
      <c r="MUX8" s="93">
        <v>2.2000000000000002</v>
      </c>
      <c r="MUY8" s="93">
        <v>2.8</v>
      </c>
      <c r="MVT8" s="110" t="s">
        <v>139</v>
      </c>
      <c r="MVU8" s="111">
        <v>3.1</v>
      </c>
      <c r="MVV8" s="111">
        <v>2.2000000000000002</v>
      </c>
      <c r="MVW8" s="111">
        <v>2.1</v>
      </c>
      <c r="MVX8" s="111">
        <v>1.5</v>
      </c>
      <c r="MVY8" s="111">
        <v>2</v>
      </c>
      <c r="MVZ8" s="111">
        <v>3.3</v>
      </c>
      <c r="MWD8" s="93">
        <v>2.2000000000000002</v>
      </c>
      <c r="MWE8" s="93">
        <v>2.8</v>
      </c>
      <c r="MWZ8" s="110" t="s">
        <v>139</v>
      </c>
      <c r="MXA8" s="111">
        <v>3.1</v>
      </c>
      <c r="MXB8" s="111">
        <v>2.2000000000000002</v>
      </c>
      <c r="MXC8" s="111">
        <v>2.1</v>
      </c>
      <c r="MXD8" s="111">
        <v>1.5</v>
      </c>
      <c r="MXE8" s="111">
        <v>2</v>
      </c>
      <c r="MXF8" s="111">
        <v>3.3</v>
      </c>
      <c r="MXJ8" s="93">
        <v>2.2000000000000002</v>
      </c>
      <c r="MXK8" s="93">
        <v>2.8</v>
      </c>
      <c r="MYF8" s="110" t="s">
        <v>139</v>
      </c>
      <c r="MYG8" s="111">
        <v>3.1</v>
      </c>
      <c r="MYH8" s="111">
        <v>2.2000000000000002</v>
      </c>
      <c r="MYI8" s="111">
        <v>2.1</v>
      </c>
      <c r="MYJ8" s="111">
        <v>1.5</v>
      </c>
      <c r="MYK8" s="111">
        <v>2</v>
      </c>
      <c r="MYL8" s="111">
        <v>3.3</v>
      </c>
      <c r="MYP8" s="93">
        <v>2.2000000000000002</v>
      </c>
      <c r="MYQ8" s="93">
        <v>2.8</v>
      </c>
      <c r="MZL8" s="110" t="s">
        <v>139</v>
      </c>
      <c r="MZM8" s="111">
        <v>3.1</v>
      </c>
      <c r="MZN8" s="111">
        <v>2.2000000000000002</v>
      </c>
      <c r="MZO8" s="111">
        <v>2.1</v>
      </c>
      <c r="MZP8" s="111">
        <v>1.5</v>
      </c>
      <c r="MZQ8" s="111">
        <v>2</v>
      </c>
      <c r="MZR8" s="111">
        <v>3.3</v>
      </c>
      <c r="MZV8" s="93">
        <v>2.2000000000000002</v>
      </c>
      <c r="MZW8" s="93">
        <v>2.8</v>
      </c>
      <c r="NAR8" s="110" t="s">
        <v>139</v>
      </c>
      <c r="NAS8" s="111">
        <v>3.1</v>
      </c>
      <c r="NAT8" s="111">
        <v>2.2000000000000002</v>
      </c>
      <c r="NAU8" s="111">
        <v>2.1</v>
      </c>
      <c r="NAV8" s="111">
        <v>1.5</v>
      </c>
      <c r="NAW8" s="111">
        <v>2</v>
      </c>
      <c r="NAX8" s="111">
        <v>3.3</v>
      </c>
      <c r="NBB8" s="93">
        <v>2.2000000000000002</v>
      </c>
      <c r="NBC8" s="93">
        <v>2.8</v>
      </c>
      <c r="NBX8" s="110" t="s">
        <v>139</v>
      </c>
      <c r="NBY8" s="111">
        <v>3.1</v>
      </c>
      <c r="NBZ8" s="111">
        <v>2.2000000000000002</v>
      </c>
      <c r="NCA8" s="111">
        <v>2.1</v>
      </c>
      <c r="NCB8" s="111">
        <v>1.5</v>
      </c>
      <c r="NCC8" s="111">
        <v>2</v>
      </c>
      <c r="NCD8" s="111">
        <v>3.3</v>
      </c>
      <c r="NCH8" s="93">
        <v>2.2000000000000002</v>
      </c>
      <c r="NCI8" s="93">
        <v>2.8</v>
      </c>
      <c r="NDD8" s="110" t="s">
        <v>139</v>
      </c>
      <c r="NDE8" s="111">
        <v>3.1</v>
      </c>
      <c r="NDF8" s="111">
        <v>2.2000000000000002</v>
      </c>
      <c r="NDG8" s="111">
        <v>2.1</v>
      </c>
      <c r="NDH8" s="111">
        <v>1.5</v>
      </c>
      <c r="NDI8" s="111">
        <v>2</v>
      </c>
      <c r="NDJ8" s="111">
        <v>3.3</v>
      </c>
      <c r="NDN8" s="93">
        <v>2.2000000000000002</v>
      </c>
      <c r="NDO8" s="93">
        <v>2.8</v>
      </c>
      <c r="NEJ8" s="110" t="s">
        <v>139</v>
      </c>
      <c r="NEK8" s="111">
        <v>3.1</v>
      </c>
      <c r="NEL8" s="111">
        <v>2.2000000000000002</v>
      </c>
      <c r="NEM8" s="111">
        <v>2.1</v>
      </c>
      <c r="NEN8" s="111">
        <v>1.5</v>
      </c>
      <c r="NEO8" s="111">
        <v>2</v>
      </c>
      <c r="NEP8" s="111">
        <v>3.3</v>
      </c>
      <c r="NET8" s="93">
        <v>2.2000000000000002</v>
      </c>
      <c r="NEU8" s="93">
        <v>2.8</v>
      </c>
      <c r="NFP8" s="110" t="s">
        <v>139</v>
      </c>
      <c r="NFQ8" s="111">
        <v>3.1</v>
      </c>
      <c r="NFR8" s="111">
        <v>2.2000000000000002</v>
      </c>
      <c r="NFS8" s="111">
        <v>2.1</v>
      </c>
      <c r="NFT8" s="111">
        <v>1.5</v>
      </c>
      <c r="NFU8" s="111">
        <v>2</v>
      </c>
      <c r="NFV8" s="111">
        <v>3.3</v>
      </c>
      <c r="NFZ8" s="93">
        <v>2.2000000000000002</v>
      </c>
      <c r="NGA8" s="93">
        <v>2.8</v>
      </c>
      <c r="NGV8" s="110" t="s">
        <v>139</v>
      </c>
      <c r="NGW8" s="111">
        <v>3.1</v>
      </c>
      <c r="NGX8" s="111">
        <v>2.2000000000000002</v>
      </c>
      <c r="NGY8" s="111">
        <v>2.1</v>
      </c>
      <c r="NGZ8" s="111">
        <v>1.5</v>
      </c>
      <c r="NHA8" s="111">
        <v>2</v>
      </c>
      <c r="NHB8" s="111">
        <v>3.3</v>
      </c>
      <c r="NHF8" s="93">
        <v>2.2000000000000002</v>
      </c>
      <c r="NHG8" s="93">
        <v>2.8</v>
      </c>
      <c r="NIB8" s="110" t="s">
        <v>139</v>
      </c>
      <c r="NIC8" s="111">
        <v>3.1</v>
      </c>
      <c r="NID8" s="111">
        <v>2.2000000000000002</v>
      </c>
      <c r="NIE8" s="111">
        <v>2.1</v>
      </c>
      <c r="NIF8" s="111">
        <v>1.5</v>
      </c>
      <c r="NIG8" s="111">
        <v>2</v>
      </c>
      <c r="NIH8" s="111">
        <v>3.3</v>
      </c>
      <c r="NIL8" s="93">
        <v>2.2000000000000002</v>
      </c>
      <c r="NIM8" s="93">
        <v>2.8</v>
      </c>
      <c r="NJH8" s="110" t="s">
        <v>139</v>
      </c>
      <c r="NJI8" s="111">
        <v>3.1</v>
      </c>
      <c r="NJJ8" s="111">
        <v>2.2000000000000002</v>
      </c>
      <c r="NJK8" s="111">
        <v>2.1</v>
      </c>
      <c r="NJL8" s="111">
        <v>1.5</v>
      </c>
      <c r="NJM8" s="111">
        <v>2</v>
      </c>
      <c r="NJN8" s="111">
        <v>3.3</v>
      </c>
      <c r="NJR8" s="93">
        <v>2.2000000000000002</v>
      </c>
      <c r="NJS8" s="93">
        <v>2.8</v>
      </c>
      <c r="NKN8" s="110" t="s">
        <v>139</v>
      </c>
      <c r="NKO8" s="111">
        <v>3.1</v>
      </c>
      <c r="NKP8" s="111">
        <v>2.2000000000000002</v>
      </c>
      <c r="NKQ8" s="111">
        <v>2.1</v>
      </c>
      <c r="NKR8" s="111">
        <v>1.5</v>
      </c>
      <c r="NKS8" s="111">
        <v>2</v>
      </c>
      <c r="NKT8" s="111">
        <v>3.3</v>
      </c>
      <c r="NKX8" s="93">
        <v>2.2000000000000002</v>
      </c>
      <c r="NKY8" s="93">
        <v>2.8</v>
      </c>
      <c r="NLT8" s="110" t="s">
        <v>139</v>
      </c>
      <c r="NLU8" s="111">
        <v>3.1</v>
      </c>
      <c r="NLV8" s="111">
        <v>2.2000000000000002</v>
      </c>
      <c r="NLW8" s="111">
        <v>2.1</v>
      </c>
      <c r="NLX8" s="111">
        <v>1.5</v>
      </c>
      <c r="NLY8" s="111">
        <v>2</v>
      </c>
      <c r="NLZ8" s="111">
        <v>3.3</v>
      </c>
      <c r="NMD8" s="93">
        <v>2.2000000000000002</v>
      </c>
      <c r="NME8" s="93">
        <v>2.8</v>
      </c>
      <c r="NMZ8" s="110" t="s">
        <v>139</v>
      </c>
      <c r="NNA8" s="111">
        <v>3.1</v>
      </c>
      <c r="NNB8" s="111">
        <v>2.2000000000000002</v>
      </c>
      <c r="NNC8" s="111">
        <v>2.1</v>
      </c>
      <c r="NND8" s="111">
        <v>1.5</v>
      </c>
      <c r="NNE8" s="111">
        <v>2</v>
      </c>
      <c r="NNF8" s="111">
        <v>3.3</v>
      </c>
      <c r="NNJ8" s="93">
        <v>2.2000000000000002</v>
      </c>
      <c r="NNK8" s="93">
        <v>2.8</v>
      </c>
      <c r="NOF8" s="110" t="s">
        <v>139</v>
      </c>
      <c r="NOG8" s="111">
        <v>3.1</v>
      </c>
      <c r="NOH8" s="111">
        <v>2.2000000000000002</v>
      </c>
      <c r="NOI8" s="111">
        <v>2.1</v>
      </c>
      <c r="NOJ8" s="111">
        <v>1.5</v>
      </c>
      <c r="NOK8" s="111">
        <v>2</v>
      </c>
      <c r="NOL8" s="111">
        <v>3.3</v>
      </c>
      <c r="NOP8" s="93">
        <v>2.2000000000000002</v>
      </c>
      <c r="NOQ8" s="93">
        <v>2.8</v>
      </c>
      <c r="NPL8" s="110" t="s">
        <v>139</v>
      </c>
      <c r="NPM8" s="111">
        <v>3.1</v>
      </c>
      <c r="NPN8" s="111">
        <v>2.2000000000000002</v>
      </c>
      <c r="NPO8" s="111">
        <v>2.1</v>
      </c>
      <c r="NPP8" s="111">
        <v>1.5</v>
      </c>
      <c r="NPQ8" s="111">
        <v>2</v>
      </c>
      <c r="NPR8" s="111">
        <v>3.3</v>
      </c>
      <c r="NPV8" s="93">
        <v>2.2000000000000002</v>
      </c>
      <c r="NPW8" s="93">
        <v>2.8</v>
      </c>
      <c r="NQR8" s="110" t="s">
        <v>139</v>
      </c>
      <c r="NQS8" s="111">
        <v>3.1</v>
      </c>
      <c r="NQT8" s="111">
        <v>2.2000000000000002</v>
      </c>
      <c r="NQU8" s="111">
        <v>2.1</v>
      </c>
      <c r="NQV8" s="111">
        <v>1.5</v>
      </c>
      <c r="NQW8" s="111">
        <v>2</v>
      </c>
      <c r="NQX8" s="111">
        <v>3.3</v>
      </c>
      <c r="NRB8" s="93">
        <v>2.2000000000000002</v>
      </c>
      <c r="NRC8" s="93">
        <v>2.8</v>
      </c>
      <c r="NRX8" s="110" t="s">
        <v>139</v>
      </c>
      <c r="NRY8" s="111">
        <v>3.1</v>
      </c>
      <c r="NRZ8" s="111">
        <v>2.2000000000000002</v>
      </c>
      <c r="NSA8" s="111">
        <v>2.1</v>
      </c>
      <c r="NSB8" s="111">
        <v>1.5</v>
      </c>
      <c r="NSC8" s="111">
        <v>2</v>
      </c>
      <c r="NSD8" s="111">
        <v>3.3</v>
      </c>
      <c r="NSH8" s="93">
        <v>2.2000000000000002</v>
      </c>
      <c r="NSI8" s="93">
        <v>2.8</v>
      </c>
      <c r="NTD8" s="110" t="s">
        <v>139</v>
      </c>
      <c r="NTE8" s="111">
        <v>3.1</v>
      </c>
      <c r="NTF8" s="111">
        <v>2.2000000000000002</v>
      </c>
      <c r="NTG8" s="111">
        <v>2.1</v>
      </c>
      <c r="NTH8" s="111">
        <v>1.5</v>
      </c>
      <c r="NTI8" s="111">
        <v>2</v>
      </c>
      <c r="NTJ8" s="111">
        <v>3.3</v>
      </c>
      <c r="NTN8" s="93">
        <v>2.2000000000000002</v>
      </c>
      <c r="NTO8" s="93">
        <v>2.8</v>
      </c>
      <c r="NUJ8" s="110" t="s">
        <v>139</v>
      </c>
      <c r="NUK8" s="111">
        <v>3.1</v>
      </c>
      <c r="NUL8" s="111">
        <v>2.2000000000000002</v>
      </c>
      <c r="NUM8" s="111">
        <v>2.1</v>
      </c>
      <c r="NUN8" s="111">
        <v>1.5</v>
      </c>
      <c r="NUO8" s="111">
        <v>2</v>
      </c>
      <c r="NUP8" s="111">
        <v>3.3</v>
      </c>
      <c r="NUT8" s="93">
        <v>2.2000000000000002</v>
      </c>
      <c r="NUU8" s="93">
        <v>2.8</v>
      </c>
      <c r="NVP8" s="110" t="s">
        <v>139</v>
      </c>
      <c r="NVQ8" s="111">
        <v>3.1</v>
      </c>
      <c r="NVR8" s="111">
        <v>2.2000000000000002</v>
      </c>
      <c r="NVS8" s="111">
        <v>2.1</v>
      </c>
      <c r="NVT8" s="111">
        <v>1.5</v>
      </c>
      <c r="NVU8" s="111">
        <v>2</v>
      </c>
      <c r="NVV8" s="111">
        <v>3.3</v>
      </c>
      <c r="NVZ8" s="93">
        <v>2.2000000000000002</v>
      </c>
      <c r="NWA8" s="93">
        <v>2.8</v>
      </c>
      <c r="NWV8" s="110" t="s">
        <v>139</v>
      </c>
      <c r="NWW8" s="111">
        <v>3.1</v>
      </c>
      <c r="NWX8" s="111">
        <v>2.2000000000000002</v>
      </c>
      <c r="NWY8" s="111">
        <v>2.1</v>
      </c>
      <c r="NWZ8" s="111">
        <v>1.5</v>
      </c>
      <c r="NXA8" s="111">
        <v>2</v>
      </c>
      <c r="NXB8" s="111">
        <v>3.3</v>
      </c>
      <c r="NXF8" s="93">
        <v>2.2000000000000002</v>
      </c>
      <c r="NXG8" s="93">
        <v>2.8</v>
      </c>
      <c r="NYB8" s="110" t="s">
        <v>139</v>
      </c>
      <c r="NYC8" s="111">
        <v>3.1</v>
      </c>
      <c r="NYD8" s="111">
        <v>2.2000000000000002</v>
      </c>
      <c r="NYE8" s="111">
        <v>2.1</v>
      </c>
      <c r="NYF8" s="111">
        <v>1.5</v>
      </c>
      <c r="NYG8" s="111">
        <v>2</v>
      </c>
      <c r="NYH8" s="111">
        <v>3.3</v>
      </c>
      <c r="NYL8" s="93">
        <v>2.2000000000000002</v>
      </c>
      <c r="NYM8" s="93">
        <v>2.8</v>
      </c>
      <c r="NZH8" s="110" t="s">
        <v>139</v>
      </c>
      <c r="NZI8" s="111">
        <v>3.1</v>
      </c>
      <c r="NZJ8" s="111">
        <v>2.2000000000000002</v>
      </c>
      <c r="NZK8" s="111">
        <v>2.1</v>
      </c>
      <c r="NZL8" s="111">
        <v>1.5</v>
      </c>
      <c r="NZM8" s="111">
        <v>2</v>
      </c>
      <c r="NZN8" s="111">
        <v>3.3</v>
      </c>
      <c r="NZR8" s="93">
        <v>2.2000000000000002</v>
      </c>
      <c r="NZS8" s="93">
        <v>2.8</v>
      </c>
      <c r="OAN8" s="110" t="s">
        <v>139</v>
      </c>
      <c r="OAO8" s="111">
        <v>3.1</v>
      </c>
      <c r="OAP8" s="111">
        <v>2.2000000000000002</v>
      </c>
      <c r="OAQ8" s="111">
        <v>2.1</v>
      </c>
      <c r="OAR8" s="111">
        <v>1.5</v>
      </c>
      <c r="OAS8" s="111">
        <v>2</v>
      </c>
      <c r="OAT8" s="111">
        <v>3.3</v>
      </c>
      <c r="OAX8" s="93">
        <v>2.2000000000000002</v>
      </c>
      <c r="OAY8" s="93">
        <v>2.8</v>
      </c>
      <c r="OBT8" s="110" t="s">
        <v>139</v>
      </c>
      <c r="OBU8" s="111">
        <v>3.1</v>
      </c>
      <c r="OBV8" s="111">
        <v>2.2000000000000002</v>
      </c>
      <c r="OBW8" s="111">
        <v>2.1</v>
      </c>
      <c r="OBX8" s="111">
        <v>1.5</v>
      </c>
      <c r="OBY8" s="111">
        <v>2</v>
      </c>
      <c r="OBZ8" s="111">
        <v>3.3</v>
      </c>
      <c r="OCD8" s="93">
        <v>2.2000000000000002</v>
      </c>
      <c r="OCE8" s="93">
        <v>2.8</v>
      </c>
      <c r="OCZ8" s="110" t="s">
        <v>139</v>
      </c>
      <c r="ODA8" s="111">
        <v>3.1</v>
      </c>
      <c r="ODB8" s="111">
        <v>2.2000000000000002</v>
      </c>
      <c r="ODC8" s="111">
        <v>2.1</v>
      </c>
      <c r="ODD8" s="111">
        <v>1.5</v>
      </c>
      <c r="ODE8" s="111">
        <v>2</v>
      </c>
      <c r="ODF8" s="111">
        <v>3.3</v>
      </c>
      <c r="ODJ8" s="93">
        <v>2.2000000000000002</v>
      </c>
      <c r="ODK8" s="93">
        <v>2.8</v>
      </c>
      <c r="OEF8" s="110" t="s">
        <v>139</v>
      </c>
      <c r="OEG8" s="111">
        <v>3.1</v>
      </c>
      <c r="OEH8" s="111">
        <v>2.2000000000000002</v>
      </c>
      <c r="OEI8" s="111">
        <v>2.1</v>
      </c>
      <c r="OEJ8" s="111">
        <v>1.5</v>
      </c>
      <c r="OEK8" s="111">
        <v>2</v>
      </c>
      <c r="OEL8" s="111">
        <v>3.3</v>
      </c>
      <c r="OEP8" s="93">
        <v>2.2000000000000002</v>
      </c>
      <c r="OEQ8" s="93">
        <v>2.8</v>
      </c>
      <c r="OFL8" s="110" t="s">
        <v>139</v>
      </c>
      <c r="OFM8" s="111">
        <v>3.1</v>
      </c>
      <c r="OFN8" s="111">
        <v>2.2000000000000002</v>
      </c>
      <c r="OFO8" s="111">
        <v>2.1</v>
      </c>
      <c r="OFP8" s="111">
        <v>1.5</v>
      </c>
      <c r="OFQ8" s="111">
        <v>2</v>
      </c>
      <c r="OFR8" s="111">
        <v>3.3</v>
      </c>
      <c r="OFV8" s="93">
        <v>2.2000000000000002</v>
      </c>
      <c r="OFW8" s="93">
        <v>2.8</v>
      </c>
      <c r="OGR8" s="110" t="s">
        <v>139</v>
      </c>
      <c r="OGS8" s="111">
        <v>3.1</v>
      </c>
      <c r="OGT8" s="111">
        <v>2.2000000000000002</v>
      </c>
      <c r="OGU8" s="111">
        <v>2.1</v>
      </c>
      <c r="OGV8" s="111">
        <v>1.5</v>
      </c>
      <c r="OGW8" s="111">
        <v>2</v>
      </c>
      <c r="OGX8" s="111">
        <v>3.3</v>
      </c>
      <c r="OHB8" s="93">
        <v>2.2000000000000002</v>
      </c>
      <c r="OHC8" s="93">
        <v>2.8</v>
      </c>
      <c r="OHX8" s="110" t="s">
        <v>139</v>
      </c>
      <c r="OHY8" s="111">
        <v>3.1</v>
      </c>
      <c r="OHZ8" s="111">
        <v>2.2000000000000002</v>
      </c>
      <c r="OIA8" s="111">
        <v>2.1</v>
      </c>
      <c r="OIB8" s="111">
        <v>1.5</v>
      </c>
      <c r="OIC8" s="111">
        <v>2</v>
      </c>
      <c r="OID8" s="111">
        <v>3.3</v>
      </c>
      <c r="OIH8" s="93">
        <v>2.2000000000000002</v>
      </c>
      <c r="OII8" s="93">
        <v>2.8</v>
      </c>
      <c r="OJD8" s="110" t="s">
        <v>139</v>
      </c>
      <c r="OJE8" s="111">
        <v>3.1</v>
      </c>
      <c r="OJF8" s="111">
        <v>2.2000000000000002</v>
      </c>
      <c r="OJG8" s="111">
        <v>2.1</v>
      </c>
      <c r="OJH8" s="111">
        <v>1.5</v>
      </c>
      <c r="OJI8" s="111">
        <v>2</v>
      </c>
      <c r="OJJ8" s="111">
        <v>3.3</v>
      </c>
      <c r="OJN8" s="93">
        <v>2.2000000000000002</v>
      </c>
      <c r="OJO8" s="93">
        <v>2.8</v>
      </c>
      <c r="OKJ8" s="110" t="s">
        <v>139</v>
      </c>
      <c r="OKK8" s="111">
        <v>3.1</v>
      </c>
      <c r="OKL8" s="111">
        <v>2.2000000000000002</v>
      </c>
      <c r="OKM8" s="111">
        <v>2.1</v>
      </c>
      <c r="OKN8" s="111">
        <v>1.5</v>
      </c>
      <c r="OKO8" s="111">
        <v>2</v>
      </c>
      <c r="OKP8" s="111">
        <v>3.3</v>
      </c>
      <c r="OKT8" s="93">
        <v>2.2000000000000002</v>
      </c>
      <c r="OKU8" s="93">
        <v>2.8</v>
      </c>
      <c r="OLP8" s="110" t="s">
        <v>139</v>
      </c>
      <c r="OLQ8" s="111">
        <v>3.1</v>
      </c>
      <c r="OLR8" s="111">
        <v>2.2000000000000002</v>
      </c>
      <c r="OLS8" s="111">
        <v>2.1</v>
      </c>
      <c r="OLT8" s="111">
        <v>1.5</v>
      </c>
      <c r="OLU8" s="111">
        <v>2</v>
      </c>
      <c r="OLV8" s="111">
        <v>3.3</v>
      </c>
      <c r="OLZ8" s="93">
        <v>2.2000000000000002</v>
      </c>
      <c r="OMA8" s="93">
        <v>2.8</v>
      </c>
      <c r="OMV8" s="110" t="s">
        <v>139</v>
      </c>
      <c r="OMW8" s="111">
        <v>3.1</v>
      </c>
      <c r="OMX8" s="111">
        <v>2.2000000000000002</v>
      </c>
      <c r="OMY8" s="111">
        <v>2.1</v>
      </c>
      <c r="OMZ8" s="111">
        <v>1.5</v>
      </c>
      <c r="ONA8" s="111">
        <v>2</v>
      </c>
      <c r="ONB8" s="111">
        <v>3.3</v>
      </c>
      <c r="ONF8" s="93">
        <v>2.2000000000000002</v>
      </c>
      <c r="ONG8" s="93">
        <v>2.8</v>
      </c>
      <c r="OOB8" s="110" t="s">
        <v>139</v>
      </c>
      <c r="OOC8" s="111">
        <v>3.1</v>
      </c>
      <c r="OOD8" s="111">
        <v>2.2000000000000002</v>
      </c>
      <c r="OOE8" s="111">
        <v>2.1</v>
      </c>
      <c r="OOF8" s="111">
        <v>1.5</v>
      </c>
      <c r="OOG8" s="111">
        <v>2</v>
      </c>
      <c r="OOH8" s="111">
        <v>3.3</v>
      </c>
      <c r="OOL8" s="93">
        <v>2.2000000000000002</v>
      </c>
      <c r="OOM8" s="93">
        <v>2.8</v>
      </c>
      <c r="OPH8" s="110" t="s">
        <v>139</v>
      </c>
      <c r="OPI8" s="111">
        <v>3.1</v>
      </c>
      <c r="OPJ8" s="111">
        <v>2.2000000000000002</v>
      </c>
      <c r="OPK8" s="111">
        <v>2.1</v>
      </c>
      <c r="OPL8" s="111">
        <v>1.5</v>
      </c>
      <c r="OPM8" s="111">
        <v>2</v>
      </c>
      <c r="OPN8" s="111">
        <v>3.3</v>
      </c>
      <c r="OPR8" s="93">
        <v>2.2000000000000002</v>
      </c>
      <c r="OPS8" s="93">
        <v>2.8</v>
      </c>
      <c r="OQN8" s="110" t="s">
        <v>139</v>
      </c>
      <c r="OQO8" s="111">
        <v>3.1</v>
      </c>
      <c r="OQP8" s="111">
        <v>2.2000000000000002</v>
      </c>
      <c r="OQQ8" s="111">
        <v>2.1</v>
      </c>
      <c r="OQR8" s="111">
        <v>1.5</v>
      </c>
      <c r="OQS8" s="111">
        <v>2</v>
      </c>
      <c r="OQT8" s="111">
        <v>3.3</v>
      </c>
      <c r="OQX8" s="93">
        <v>2.2000000000000002</v>
      </c>
      <c r="OQY8" s="93">
        <v>2.8</v>
      </c>
      <c r="ORT8" s="110" t="s">
        <v>139</v>
      </c>
      <c r="ORU8" s="111">
        <v>3.1</v>
      </c>
      <c r="ORV8" s="111">
        <v>2.2000000000000002</v>
      </c>
      <c r="ORW8" s="111">
        <v>2.1</v>
      </c>
      <c r="ORX8" s="111">
        <v>1.5</v>
      </c>
      <c r="ORY8" s="111">
        <v>2</v>
      </c>
      <c r="ORZ8" s="111">
        <v>3.3</v>
      </c>
      <c r="OSD8" s="93">
        <v>2.2000000000000002</v>
      </c>
      <c r="OSE8" s="93">
        <v>2.8</v>
      </c>
      <c r="OSZ8" s="110" t="s">
        <v>139</v>
      </c>
      <c r="OTA8" s="111">
        <v>3.1</v>
      </c>
      <c r="OTB8" s="111">
        <v>2.2000000000000002</v>
      </c>
      <c r="OTC8" s="111">
        <v>2.1</v>
      </c>
      <c r="OTD8" s="111">
        <v>1.5</v>
      </c>
      <c r="OTE8" s="111">
        <v>2</v>
      </c>
      <c r="OTF8" s="111">
        <v>3.3</v>
      </c>
      <c r="OTJ8" s="93">
        <v>2.2000000000000002</v>
      </c>
      <c r="OTK8" s="93">
        <v>2.8</v>
      </c>
      <c r="OUF8" s="110" t="s">
        <v>139</v>
      </c>
      <c r="OUG8" s="111">
        <v>3.1</v>
      </c>
      <c r="OUH8" s="111">
        <v>2.2000000000000002</v>
      </c>
      <c r="OUI8" s="111">
        <v>2.1</v>
      </c>
      <c r="OUJ8" s="111">
        <v>1.5</v>
      </c>
      <c r="OUK8" s="111">
        <v>2</v>
      </c>
      <c r="OUL8" s="111">
        <v>3.3</v>
      </c>
      <c r="OUP8" s="93">
        <v>2.2000000000000002</v>
      </c>
      <c r="OUQ8" s="93">
        <v>2.8</v>
      </c>
      <c r="OVL8" s="110" t="s">
        <v>139</v>
      </c>
      <c r="OVM8" s="111">
        <v>3.1</v>
      </c>
      <c r="OVN8" s="111">
        <v>2.2000000000000002</v>
      </c>
      <c r="OVO8" s="111">
        <v>2.1</v>
      </c>
      <c r="OVP8" s="111">
        <v>1.5</v>
      </c>
      <c r="OVQ8" s="111">
        <v>2</v>
      </c>
      <c r="OVR8" s="111">
        <v>3.3</v>
      </c>
      <c r="OVV8" s="93">
        <v>2.2000000000000002</v>
      </c>
      <c r="OVW8" s="93">
        <v>2.8</v>
      </c>
      <c r="OWR8" s="110" t="s">
        <v>139</v>
      </c>
      <c r="OWS8" s="111">
        <v>3.1</v>
      </c>
      <c r="OWT8" s="111">
        <v>2.2000000000000002</v>
      </c>
      <c r="OWU8" s="111">
        <v>2.1</v>
      </c>
      <c r="OWV8" s="111">
        <v>1.5</v>
      </c>
      <c r="OWW8" s="111">
        <v>2</v>
      </c>
      <c r="OWX8" s="111">
        <v>3.3</v>
      </c>
      <c r="OXB8" s="93">
        <v>2.2000000000000002</v>
      </c>
      <c r="OXC8" s="93">
        <v>2.8</v>
      </c>
      <c r="OXX8" s="110" t="s">
        <v>139</v>
      </c>
      <c r="OXY8" s="111">
        <v>3.1</v>
      </c>
      <c r="OXZ8" s="111">
        <v>2.2000000000000002</v>
      </c>
      <c r="OYA8" s="111">
        <v>2.1</v>
      </c>
      <c r="OYB8" s="111">
        <v>1.5</v>
      </c>
      <c r="OYC8" s="111">
        <v>2</v>
      </c>
      <c r="OYD8" s="111">
        <v>3.3</v>
      </c>
      <c r="OYH8" s="93">
        <v>2.2000000000000002</v>
      </c>
      <c r="OYI8" s="93">
        <v>2.8</v>
      </c>
      <c r="OZD8" s="110" t="s">
        <v>139</v>
      </c>
      <c r="OZE8" s="111">
        <v>3.1</v>
      </c>
      <c r="OZF8" s="111">
        <v>2.2000000000000002</v>
      </c>
      <c r="OZG8" s="111">
        <v>2.1</v>
      </c>
      <c r="OZH8" s="111">
        <v>1.5</v>
      </c>
      <c r="OZI8" s="111">
        <v>2</v>
      </c>
      <c r="OZJ8" s="111">
        <v>3.3</v>
      </c>
      <c r="OZN8" s="93">
        <v>2.2000000000000002</v>
      </c>
      <c r="OZO8" s="93">
        <v>2.8</v>
      </c>
      <c r="PAJ8" s="110" t="s">
        <v>139</v>
      </c>
      <c r="PAK8" s="111">
        <v>3.1</v>
      </c>
      <c r="PAL8" s="111">
        <v>2.2000000000000002</v>
      </c>
      <c r="PAM8" s="111">
        <v>2.1</v>
      </c>
      <c r="PAN8" s="111">
        <v>1.5</v>
      </c>
      <c r="PAO8" s="111">
        <v>2</v>
      </c>
      <c r="PAP8" s="111">
        <v>3.3</v>
      </c>
      <c r="PAT8" s="93">
        <v>2.2000000000000002</v>
      </c>
      <c r="PAU8" s="93">
        <v>2.8</v>
      </c>
      <c r="PBP8" s="110" t="s">
        <v>139</v>
      </c>
      <c r="PBQ8" s="111">
        <v>3.1</v>
      </c>
      <c r="PBR8" s="111">
        <v>2.2000000000000002</v>
      </c>
      <c r="PBS8" s="111">
        <v>2.1</v>
      </c>
      <c r="PBT8" s="111">
        <v>1.5</v>
      </c>
      <c r="PBU8" s="111">
        <v>2</v>
      </c>
      <c r="PBV8" s="111">
        <v>3.3</v>
      </c>
      <c r="PBZ8" s="93">
        <v>2.2000000000000002</v>
      </c>
      <c r="PCA8" s="93">
        <v>2.8</v>
      </c>
      <c r="PCV8" s="110" t="s">
        <v>139</v>
      </c>
      <c r="PCW8" s="111">
        <v>3.1</v>
      </c>
      <c r="PCX8" s="111">
        <v>2.2000000000000002</v>
      </c>
      <c r="PCY8" s="111">
        <v>2.1</v>
      </c>
      <c r="PCZ8" s="111">
        <v>1.5</v>
      </c>
      <c r="PDA8" s="111">
        <v>2</v>
      </c>
      <c r="PDB8" s="111">
        <v>3.3</v>
      </c>
      <c r="PDF8" s="93">
        <v>2.2000000000000002</v>
      </c>
      <c r="PDG8" s="93">
        <v>2.8</v>
      </c>
      <c r="PEB8" s="110" t="s">
        <v>139</v>
      </c>
      <c r="PEC8" s="111">
        <v>3.1</v>
      </c>
      <c r="PED8" s="111">
        <v>2.2000000000000002</v>
      </c>
      <c r="PEE8" s="111">
        <v>2.1</v>
      </c>
      <c r="PEF8" s="111">
        <v>1.5</v>
      </c>
      <c r="PEG8" s="111">
        <v>2</v>
      </c>
      <c r="PEH8" s="111">
        <v>3.3</v>
      </c>
      <c r="PEL8" s="93">
        <v>2.2000000000000002</v>
      </c>
      <c r="PEM8" s="93">
        <v>2.8</v>
      </c>
      <c r="PFH8" s="110" t="s">
        <v>139</v>
      </c>
      <c r="PFI8" s="111">
        <v>3.1</v>
      </c>
      <c r="PFJ8" s="111">
        <v>2.2000000000000002</v>
      </c>
      <c r="PFK8" s="111">
        <v>2.1</v>
      </c>
      <c r="PFL8" s="111">
        <v>1.5</v>
      </c>
      <c r="PFM8" s="111">
        <v>2</v>
      </c>
      <c r="PFN8" s="111">
        <v>3.3</v>
      </c>
      <c r="PFR8" s="93">
        <v>2.2000000000000002</v>
      </c>
      <c r="PFS8" s="93">
        <v>2.8</v>
      </c>
      <c r="PGN8" s="110" t="s">
        <v>139</v>
      </c>
      <c r="PGO8" s="111">
        <v>3.1</v>
      </c>
      <c r="PGP8" s="111">
        <v>2.2000000000000002</v>
      </c>
      <c r="PGQ8" s="111">
        <v>2.1</v>
      </c>
      <c r="PGR8" s="111">
        <v>1.5</v>
      </c>
      <c r="PGS8" s="111">
        <v>2</v>
      </c>
      <c r="PGT8" s="111">
        <v>3.3</v>
      </c>
      <c r="PGX8" s="93">
        <v>2.2000000000000002</v>
      </c>
      <c r="PGY8" s="93">
        <v>2.8</v>
      </c>
      <c r="PHT8" s="110" t="s">
        <v>139</v>
      </c>
      <c r="PHU8" s="111">
        <v>3.1</v>
      </c>
      <c r="PHV8" s="111">
        <v>2.2000000000000002</v>
      </c>
      <c r="PHW8" s="111">
        <v>2.1</v>
      </c>
      <c r="PHX8" s="111">
        <v>1.5</v>
      </c>
      <c r="PHY8" s="111">
        <v>2</v>
      </c>
      <c r="PHZ8" s="111">
        <v>3.3</v>
      </c>
      <c r="PID8" s="93">
        <v>2.2000000000000002</v>
      </c>
      <c r="PIE8" s="93">
        <v>2.8</v>
      </c>
      <c r="PIZ8" s="110" t="s">
        <v>139</v>
      </c>
      <c r="PJA8" s="111">
        <v>3.1</v>
      </c>
      <c r="PJB8" s="111">
        <v>2.2000000000000002</v>
      </c>
      <c r="PJC8" s="111">
        <v>2.1</v>
      </c>
      <c r="PJD8" s="111">
        <v>1.5</v>
      </c>
      <c r="PJE8" s="111">
        <v>2</v>
      </c>
      <c r="PJF8" s="111">
        <v>3.3</v>
      </c>
      <c r="PJJ8" s="93">
        <v>2.2000000000000002</v>
      </c>
      <c r="PJK8" s="93">
        <v>2.8</v>
      </c>
      <c r="PKF8" s="110" t="s">
        <v>139</v>
      </c>
      <c r="PKG8" s="111">
        <v>3.1</v>
      </c>
      <c r="PKH8" s="111">
        <v>2.2000000000000002</v>
      </c>
      <c r="PKI8" s="111">
        <v>2.1</v>
      </c>
      <c r="PKJ8" s="111">
        <v>1.5</v>
      </c>
      <c r="PKK8" s="111">
        <v>2</v>
      </c>
      <c r="PKL8" s="111">
        <v>3.3</v>
      </c>
      <c r="PKP8" s="93">
        <v>2.2000000000000002</v>
      </c>
      <c r="PKQ8" s="93">
        <v>2.8</v>
      </c>
      <c r="PLL8" s="110" t="s">
        <v>139</v>
      </c>
      <c r="PLM8" s="111">
        <v>3.1</v>
      </c>
      <c r="PLN8" s="111">
        <v>2.2000000000000002</v>
      </c>
      <c r="PLO8" s="111">
        <v>2.1</v>
      </c>
      <c r="PLP8" s="111">
        <v>1.5</v>
      </c>
      <c r="PLQ8" s="111">
        <v>2</v>
      </c>
      <c r="PLR8" s="111">
        <v>3.3</v>
      </c>
      <c r="PLV8" s="93">
        <v>2.2000000000000002</v>
      </c>
      <c r="PLW8" s="93">
        <v>2.8</v>
      </c>
      <c r="PMR8" s="110" t="s">
        <v>139</v>
      </c>
      <c r="PMS8" s="111">
        <v>3.1</v>
      </c>
      <c r="PMT8" s="111">
        <v>2.2000000000000002</v>
      </c>
      <c r="PMU8" s="111">
        <v>2.1</v>
      </c>
      <c r="PMV8" s="111">
        <v>1.5</v>
      </c>
      <c r="PMW8" s="111">
        <v>2</v>
      </c>
      <c r="PMX8" s="111">
        <v>3.3</v>
      </c>
      <c r="PNB8" s="93">
        <v>2.2000000000000002</v>
      </c>
      <c r="PNC8" s="93">
        <v>2.8</v>
      </c>
      <c r="PNX8" s="110" t="s">
        <v>139</v>
      </c>
      <c r="PNY8" s="111">
        <v>3.1</v>
      </c>
      <c r="PNZ8" s="111">
        <v>2.2000000000000002</v>
      </c>
      <c r="POA8" s="111">
        <v>2.1</v>
      </c>
      <c r="POB8" s="111">
        <v>1.5</v>
      </c>
      <c r="POC8" s="111">
        <v>2</v>
      </c>
      <c r="POD8" s="111">
        <v>3.3</v>
      </c>
      <c r="POH8" s="93">
        <v>2.2000000000000002</v>
      </c>
      <c r="POI8" s="93">
        <v>2.8</v>
      </c>
      <c r="PPD8" s="110" t="s">
        <v>139</v>
      </c>
      <c r="PPE8" s="111">
        <v>3.1</v>
      </c>
      <c r="PPF8" s="111">
        <v>2.2000000000000002</v>
      </c>
      <c r="PPG8" s="111">
        <v>2.1</v>
      </c>
      <c r="PPH8" s="111">
        <v>1.5</v>
      </c>
      <c r="PPI8" s="111">
        <v>2</v>
      </c>
      <c r="PPJ8" s="111">
        <v>3.3</v>
      </c>
      <c r="PPN8" s="93">
        <v>2.2000000000000002</v>
      </c>
      <c r="PPO8" s="93">
        <v>2.8</v>
      </c>
      <c r="PQJ8" s="110" t="s">
        <v>139</v>
      </c>
      <c r="PQK8" s="111">
        <v>3.1</v>
      </c>
      <c r="PQL8" s="111">
        <v>2.2000000000000002</v>
      </c>
      <c r="PQM8" s="111">
        <v>2.1</v>
      </c>
      <c r="PQN8" s="111">
        <v>1.5</v>
      </c>
      <c r="PQO8" s="111">
        <v>2</v>
      </c>
      <c r="PQP8" s="111">
        <v>3.3</v>
      </c>
      <c r="PQT8" s="93">
        <v>2.2000000000000002</v>
      </c>
      <c r="PQU8" s="93">
        <v>2.8</v>
      </c>
      <c r="PRP8" s="110" t="s">
        <v>139</v>
      </c>
      <c r="PRQ8" s="111">
        <v>3.1</v>
      </c>
      <c r="PRR8" s="111">
        <v>2.2000000000000002</v>
      </c>
      <c r="PRS8" s="111">
        <v>2.1</v>
      </c>
      <c r="PRT8" s="111">
        <v>1.5</v>
      </c>
      <c r="PRU8" s="111">
        <v>2</v>
      </c>
      <c r="PRV8" s="111">
        <v>3.3</v>
      </c>
      <c r="PRZ8" s="93">
        <v>2.2000000000000002</v>
      </c>
      <c r="PSA8" s="93">
        <v>2.8</v>
      </c>
      <c r="PSV8" s="110" t="s">
        <v>139</v>
      </c>
      <c r="PSW8" s="111">
        <v>3.1</v>
      </c>
      <c r="PSX8" s="111">
        <v>2.2000000000000002</v>
      </c>
      <c r="PSY8" s="111">
        <v>2.1</v>
      </c>
      <c r="PSZ8" s="111">
        <v>1.5</v>
      </c>
      <c r="PTA8" s="111">
        <v>2</v>
      </c>
      <c r="PTB8" s="111">
        <v>3.3</v>
      </c>
      <c r="PTF8" s="93">
        <v>2.2000000000000002</v>
      </c>
      <c r="PTG8" s="93">
        <v>2.8</v>
      </c>
      <c r="PUB8" s="110" t="s">
        <v>139</v>
      </c>
      <c r="PUC8" s="111">
        <v>3.1</v>
      </c>
      <c r="PUD8" s="111">
        <v>2.2000000000000002</v>
      </c>
      <c r="PUE8" s="111">
        <v>2.1</v>
      </c>
      <c r="PUF8" s="111">
        <v>1.5</v>
      </c>
      <c r="PUG8" s="111">
        <v>2</v>
      </c>
      <c r="PUH8" s="111">
        <v>3.3</v>
      </c>
      <c r="PUL8" s="93">
        <v>2.2000000000000002</v>
      </c>
      <c r="PUM8" s="93">
        <v>2.8</v>
      </c>
      <c r="PVH8" s="110" t="s">
        <v>139</v>
      </c>
      <c r="PVI8" s="111">
        <v>3.1</v>
      </c>
      <c r="PVJ8" s="111">
        <v>2.2000000000000002</v>
      </c>
      <c r="PVK8" s="111">
        <v>2.1</v>
      </c>
      <c r="PVL8" s="111">
        <v>1.5</v>
      </c>
      <c r="PVM8" s="111">
        <v>2</v>
      </c>
      <c r="PVN8" s="111">
        <v>3.3</v>
      </c>
      <c r="PVR8" s="93">
        <v>2.2000000000000002</v>
      </c>
      <c r="PVS8" s="93">
        <v>2.8</v>
      </c>
      <c r="PWN8" s="110" t="s">
        <v>139</v>
      </c>
      <c r="PWO8" s="111">
        <v>3.1</v>
      </c>
      <c r="PWP8" s="111">
        <v>2.2000000000000002</v>
      </c>
      <c r="PWQ8" s="111">
        <v>2.1</v>
      </c>
      <c r="PWR8" s="111">
        <v>1.5</v>
      </c>
      <c r="PWS8" s="111">
        <v>2</v>
      </c>
      <c r="PWT8" s="111">
        <v>3.3</v>
      </c>
      <c r="PWX8" s="93">
        <v>2.2000000000000002</v>
      </c>
      <c r="PWY8" s="93">
        <v>2.8</v>
      </c>
      <c r="PXT8" s="110" t="s">
        <v>139</v>
      </c>
      <c r="PXU8" s="111">
        <v>3.1</v>
      </c>
      <c r="PXV8" s="111">
        <v>2.2000000000000002</v>
      </c>
      <c r="PXW8" s="111">
        <v>2.1</v>
      </c>
      <c r="PXX8" s="111">
        <v>1.5</v>
      </c>
      <c r="PXY8" s="111">
        <v>2</v>
      </c>
      <c r="PXZ8" s="111">
        <v>3.3</v>
      </c>
      <c r="PYD8" s="93">
        <v>2.2000000000000002</v>
      </c>
      <c r="PYE8" s="93">
        <v>2.8</v>
      </c>
      <c r="PYZ8" s="110" t="s">
        <v>139</v>
      </c>
      <c r="PZA8" s="111">
        <v>3.1</v>
      </c>
      <c r="PZB8" s="111">
        <v>2.2000000000000002</v>
      </c>
      <c r="PZC8" s="111">
        <v>2.1</v>
      </c>
      <c r="PZD8" s="111">
        <v>1.5</v>
      </c>
      <c r="PZE8" s="111">
        <v>2</v>
      </c>
      <c r="PZF8" s="111">
        <v>3.3</v>
      </c>
      <c r="PZJ8" s="93">
        <v>2.2000000000000002</v>
      </c>
      <c r="PZK8" s="93">
        <v>2.8</v>
      </c>
      <c r="QAF8" s="110" t="s">
        <v>139</v>
      </c>
      <c r="QAG8" s="111">
        <v>3.1</v>
      </c>
      <c r="QAH8" s="111">
        <v>2.2000000000000002</v>
      </c>
      <c r="QAI8" s="111">
        <v>2.1</v>
      </c>
      <c r="QAJ8" s="111">
        <v>1.5</v>
      </c>
      <c r="QAK8" s="111">
        <v>2</v>
      </c>
      <c r="QAL8" s="111">
        <v>3.3</v>
      </c>
      <c r="QAP8" s="93">
        <v>2.2000000000000002</v>
      </c>
      <c r="QAQ8" s="93">
        <v>2.8</v>
      </c>
      <c r="QBL8" s="110" t="s">
        <v>139</v>
      </c>
      <c r="QBM8" s="111">
        <v>3.1</v>
      </c>
      <c r="QBN8" s="111">
        <v>2.2000000000000002</v>
      </c>
      <c r="QBO8" s="111">
        <v>2.1</v>
      </c>
      <c r="QBP8" s="111">
        <v>1.5</v>
      </c>
      <c r="QBQ8" s="111">
        <v>2</v>
      </c>
      <c r="QBR8" s="111">
        <v>3.3</v>
      </c>
      <c r="QBV8" s="93">
        <v>2.2000000000000002</v>
      </c>
      <c r="QBW8" s="93">
        <v>2.8</v>
      </c>
      <c r="QCR8" s="110" t="s">
        <v>139</v>
      </c>
      <c r="QCS8" s="111">
        <v>3.1</v>
      </c>
      <c r="QCT8" s="111">
        <v>2.2000000000000002</v>
      </c>
      <c r="QCU8" s="111">
        <v>2.1</v>
      </c>
      <c r="QCV8" s="111">
        <v>1.5</v>
      </c>
      <c r="QCW8" s="111">
        <v>2</v>
      </c>
      <c r="QCX8" s="111">
        <v>3.3</v>
      </c>
      <c r="QDB8" s="93">
        <v>2.2000000000000002</v>
      </c>
      <c r="QDC8" s="93">
        <v>2.8</v>
      </c>
      <c r="QDX8" s="110" t="s">
        <v>139</v>
      </c>
      <c r="QDY8" s="111">
        <v>3.1</v>
      </c>
      <c r="QDZ8" s="111">
        <v>2.2000000000000002</v>
      </c>
      <c r="QEA8" s="111">
        <v>2.1</v>
      </c>
      <c r="QEB8" s="111">
        <v>1.5</v>
      </c>
      <c r="QEC8" s="111">
        <v>2</v>
      </c>
      <c r="QED8" s="111">
        <v>3.3</v>
      </c>
      <c r="QEH8" s="93">
        <v>2.2000000000000002</v>
      </c>
      <c r="QEI8" s="93">
        <v>2.8</v>
      </c>
      <c r="QFD8" s="110" t="s">
        <v>139</v>
      </c>
      <c r="QFE8" s="111">
        <v>3.1</v>
      </c>
      <c r="QFF8" s="111">
        <v>2.2000000000000002</v>
      </c>
      <c r="QFG8" s="111">
        <v>2.1</v>
      </c>
      <c r="QFH8" s="111">
        <v>1.5</v>
      </c>
      <c r="QFI8" s="111">
        <v>2</v>
      </c>
      <c r="QFJ8" s="111">
        <v>3.3</v>
      </c>
      <c r="QFN8" s="93">
        <v>2.2000000000000002</v>
      </c>
      <c r="QFO8" s="93">
        <v>2.8</v>
      </c>
      <c r="QGJ8" s="110" t="s">
        <v>139</v>
      </c>
      <c r="QGK8" s="111">
        <v>3.1</v>
      </c>
      <c r="QGL8" s="111">
        <v>2.2000000000000002</v>
      </c>
      <c r="QGM8" s="111">
        <v>2.1</v>
      </c>
      <c r="QGN8" s="111">
        <v>1.5</v>
      </c>
      <c r="QGO8" s="111">
        <v>2</v>
      </c>
      <c r="QGP8" s="111">
        <v>3.3</v>
      </c>
      <c r="QGT8" s="93">
        <v>2.2000000000000002</v>
      </c>
      <c r="QGU8" s="93">
        <v>2.8</v>
      </c>
      <c r="QHP8" s="110" t="s">
        <v>139</v>
      </c>
      <c r="QHQ8" s="111">
        <v>3.1</v>
      </c>
      <c r="QHR8" s="111">
        <v>2.2000000000000002</v>
      </c>
      <c r="QHS8" s="111">
        <v>2.1</v>
      </c>
      <c r="QHT8" s="111">
        <v>1.5</v>
      </c>
      <c r="QHU8" s="111">
        <v>2</v>
      </c>
      <c r="QHV8" s="111">
        <v>3.3</v>
      </c>
      <c r="QHZ8" s="93">
        <v>2.2000000000000002</v>
      </c>
      <c r="QIA8" s="93">
        <v>2.8</v>
      </c>
      <c r="QIV8" s="110" t="s">
        <v>139</v>
      </c>
      <c r="QIW8" s="111">
        <v>3.1</v>
      </c>
      <c r="QIX8" s="111">
        <v>2.2000000000000002</v>
      </c>
      <c r="QIY8" s="111">
        <v>2.1</v>
      </c>
      <c r="QIZ8" s="111">
        <v>1.5</v>
      </c>
      <c r="QJA8" s="111">
        <v>2</v>
      </c>
      <c r="QJB8" s="111">
        <v>3.3</v>
      </c>
      <c r="QJF8" s="93">
        <v>2.2000000000000002</v>
      </c>
      <c r="QJG8" s="93">
        <v>2.8</v>
      </c>
      <c r="QKB8" s="110" t="s">
        <v>139</v>
      </c>
      <c r="QKC8" s="111">
        <v>3.1</v>
      </c>
      <c r="QKD8" s="111">
        <v>2.2000000000000002</v>
      </c>
      <c r="QKE8" s="111">
        <v>2.1</v>
      </c>
      <c r="QKF8" s="111">
        <v>1.5</v>
      </c>
      <c r="QKG8" s="111">
        <v>2</v>
      </c>
      <c r="QKH8" s="111">
        <v>3.3</v>
      </c>
      <c r="QKL8" s="93">
        <v>2.2000000000000002</v>
      </c>
      <c r="QKM8" s="93">
        <v>2.8</v>
      </c>
      <c r="QLH8" s="110" t="s">
        <v>139</v>
      </c>
      <c r="QLI8" s="111">
        <v>3.1</v>
      </c>
      <c r="QLJ8" s="111">
        <v>2.2000000000000002</v>
      </c>
      <c r="QLK8" s="111">
        <v>2.1</v>
      </c>
      <c r="QLL8" s="111">
        <v>1.5</v>
      </c>
      <c r="QLM8" s="111">
        <v>2</v>
      </c>
      <c r="QLN8" s="111">
        <v>3.3</v>
      </c>
      <c r="QLR8" s="93">
        <v>2.2000000000000002</v>
      </c>
      <c r="QLS8" s="93">
        <v>2.8</v>
      </c>
      <c r="QMN8" s="110" t="s">
        <v>139</v>
      </c>
      <c r="QMO8" s="111">
        <v>3.1</v>
      </c>
      <c r="QMP8" s="111">
        <v>2.2000000000000002</v>
      </c>
      <c r="QMQ8" s="111">
        <v>2.1</v>
      </c>
      <c r="QMR8" s="111">
        <v>1.5</v>
      </c>
      <c r="QMS8" s="111">
        <v>2</v>
      </c>
      <c r="QMT8" s="111">
        <v>3.3</v>
      </c>
      <c r="QMX8" s="93">
        <v>2.2000000000000002</v>
      </c>
      <c r="QMY8" s="93">
        <v>2.8</v>
      </c>
      <c r="QNT8" s="110" t="s">
        <v>139</v>
      </c>
      <c r="QNU8" s="111">
        <v>3.1</v>
      </c>
      <c r="QNV8" s="111">
        <v>2.2000000000000002</v>
      </c>
      <c r="QNW8" s="111">
        <v>2.1</v>
      </c>
      <c r="QNX8" s="111">
        <v>1.5</v>
      </c>
      <c r="QNY8" s="111">
        <v>2</v>
      </c>
      <c r="QNZ8" s="111">
        <v>3.3</v>
      </c>
      <c r="QOD8" s="93">
        <v>2.2000000000000002</v>
      </c>
      <c r="QOE8" s="93">
        <v>2.8</v>
      </c>
      <c r="QOZ8" s="110" t="s">
        <v>139</v>
      </c>
      <c r="QPA8" s="111">
        <v>3.1</v>
      </c>
      <c r="QPB8" s="111">
        <v>2.2000000000000002</v>
      </c>
      <c r="QPC8" s="111">
        <v>2.1</v>
      </c>
      <c r="QPD8" s="111">
        <v>1.5</v>
      </c>
      <c r="QPE8" s="111">
        <v>2</v>
      </c>
      <c r="QPF8" s="111">
        <v>3.3</v>
      </c>
      <c r="QPJ8" s="93">
        <v>2.2000000000000002</v>
      </c>
      <c r="QPK8" s="93">
        <v>2.8</v>
      </c>
      <c r="QQF8" s="110" t="s">
        <v>139</v>
      </c>
      <c r="QQG8" s="111">
        <v>3.1</v>
      </c>
      <c r="QQH8" s="111">
        <v>2.2000000000000002</v>
      </c>
      <c r="QQI8" s="111">
        <v>2.1</v>
      </c>
      <c r="QQJ8" s="111">
        <v>1.5</v>
      </c>
      <c r="QQK8" s="111">
        <v>2</v>
      </c>
      <c r="QQL8" s="111">
        <v>3.3</v>
      </c>
      <c r="QQP8" s="93">
        <v>2.2000000000000002</v>
      </c>
      <c r="QQQ8" s="93">
        <v>2.8</v>
      </c>
      <c r="QRL8" s="110" t="s">
        <v>139</v>
      </c>
      <c r="QRM8" s="111">
        <v>3.1</v>
      </c>
      <c r="QRN8" s="111">
        <v>2.2000000000000002</v>
      </c>
      <c r="QRO8" s="111">
        <v>2.1</v>
      </c>
      <c r="QRP8" s="111">
        <v>1.5</v>
      </c>
      <c r="QRQ8" s="111">
        <v>2</v>
      </c>
      <c r="QRR8" s="111">
        <v>3.3</v>
      </c>
      <c r="QRV8" s="93">
        <v>2.2000000000000002</v>
      </c>
      <c r="QRW8" s="93">
        <v>2.8</v>
      </c>
      <c r="QSR8" s="110" t="s">
        <v>139</v>
      </c>
      <c r="QSS8" s="111">
        <v>3.1</v>
      </c>
      <c r="QST8" s="111">
        <v>2.2000000000000002</v>
      </c>
      <c r="QSU8" s="111">
        <v>2.1</v>
      </c>
      <c r="QSV8" s="111">
        <v>1.5</v>
      </c>
      <c r="QSW8" s="111">
        <v>2</v>
      </c>
      <c r="QSX8" s="111">
        <v>3.3</v>
      </c>
      <c r="QTB8" s="93">
        <v>2.2000000000000002</v>
      </c>
      <c r="QTC8" s="93">
        <v>2.8</v>
      </c>
      <c r="QTX8" s="110" t="s">
        <v>139</v>
      </c>
      <c r="QTY8" s="111">
        <v>3.1</v>
      </c>
      <c r="QTZ8" s="111">
        <v>2.2000000000000002</v>
      </c>
      <c r="QUA8" s="111">
        <v>2.1</v>
      </c>
      <c r="QUB8" s="111">
        <v>1.5</v>
      </c>
      <c r="QUC8" s="111">
        <v>2</v>
      </c>
      <c r="QUD8" s="111">
        <v>3.3</v>
      </c>
      <c r="QUH8" s="93">
        <v>2.2000000000000002</v>
      </c>
      <c r="QUI8" s="93">
        <v>2.8</v>
      </c>
      <c r="QVD8" s="110" t="s">
        <v>139</v>
      </c>
      <c r="QVE8" s="111">
        <v>3.1</v>
      </c>
      <c r="QVF8" s="111">
        <v>2.2000000000000002</v>
      </c>
      <c r="QVG8" s="111">
        <v>2.1</v>
      </c>
      <c r="QVH8" s="111">
        <v>1.5</v>
      </c>
      <c r="QVI8" s="111">
        <v>2</v>
      </c>
      <c r="QVJ8" s="111">
        <v>3.3</v>
      </c>
      <c r="QVN8" s="93">
        <v>2.2000000000000002</v>
      </c>
      <c r="QVO8" s="93">
        <v>2.8</v>
      </c>
      <c r="QWJ8" s="110" t="s">
        <v>139</v>
      </c>
      <c r="QWK8" s="111">
        <v>3.1</v>
      </c>
      <c r="QWL8" s="111">
        <v>2.2000000000000002</v>
      </c>
      <c r="QWM8" s="111">
        <v>2.1</v>
      </c>
      <c r="QWN8" s="111">
        <v>1.5</v>
      </c>
      <c r="QWO8" s="111">
        <v>2</v>
      </c>
      <c r="QWP8" s="111">
        <v>3.3</v>
      </c>
      <c r="QWT8" s="93">
        <v>2.2000000000000002</v>
      </c>
      <c r="QWU8" s="93">
        <v>2.8</v>
      </c>
      <c r="QXP8" s="110" t="s">
        <v>139</v>
      </c>
      <c r="QXQ8" s="111">
        <v>3.1</v>
      </c>
      <c r="QXR8" s="111">
        <v>2.2000000000000002</v>
      </c>
      <c r="QXS8" s="111">
        <v>2.1</v>
      </c>
      <c r="QXT8" s="111">
        <v>1.5</v>
      </c>
      <c r="QXU8" s="111">
        <v>2</v>
      </c>
      <c r="QXV8" s="111">
        <v>3.3</v>
      </c>
      <c r="QXZ8" s="93">
        <v>2.2000000000000002</v>
      </c>
      <c r="QYA8" s="93">
        <v>2.8</v>
      </c>
      <c r="QYV8" s="110" t="s">
        <v>139</v>
      </c>
      <c r="QYW8" s="111">
        <v>3.1</v>
      </c>
      <c r="QYX8" s="111">
        <v>2.2000000000000002</v>
      </c>
      <c r="QYY8" s="111">
        <v>2.1</v>
      </c>
      <c r="QYZ8" s="111">
        <v>1.5</v>
      </c>
      <c r="QZA8" s="111">
        <v>2</v>
      </c>
      <c r="QZB8" s="111">
        <v>3.3</v>
      </c>
      <c r="QZF8" s="93">
        <v>2.2000000000000002</v>
      </c>
      <c r="QZG8" s="93">
        <v>2.8</v>
      </c>
      <c r="RAB8" s="110" t="s">
        <v>139</v>
      </c>
      <c r="RAC8" s="111">
        <v>3.1</v>
      </c>
      <c r="RAD8" s="111">
        <v>2.2000000000000002</v>
      </c>
      <c r="RAE8" s="111">
        <v>2.1</v>
      </c>
      <c r="RAF8" s="111">
        <v>1.5</v>
      </c>
      <c r="RAG8" s="111">
        <v>2</v>
      </c>
      <c r="RAH8" s="111">
        <v>3.3</v>
      </c>
      <c r="RAL8" s="93">
        <v>2.2000000000000002</v>
      </c>
      <c r="RAM8" s="93">
        <v>2.8</v>
      </c>
      <c r="RBH8" s="110" t="s">
        <v>139</v>
      </c>
      <c r="RBI8" s="111">
        <v>3.1</v>
      </c>
      <c r="RBJ8" s="111">
        <v>2.2000000000000002</v>
      </c>
      <c r="RBK8" s="111">
        <v>2.1</v>
      </c>
      <c r="RBL8" s="111">
        <v>1.5</v>
      </c>
      <c r="RBM8" s="111">
        <v>2</v>
      </c>
      <c r="RBN8" s="111">
        <v>3.3</v>
      </c>
      <c r="RBR8" s="93">
        <v>2.2000000000000002</v>
      </c>
      <c r="RBS8" s="93">
        <v>2.8</v>
      </c>
      <c r="RCN8" s="110" t="s">
        <v>139</v>
      </c>
      <c r="RCO8" s="111">
        <v>3.1</v>
      </c>
      <c r="RCP8" s="111">
        <v>2.2000000000000002</v>
      </c>
      <c r="RCQ8" s="111">
        <v>2.1</v>
      </c>
      <c r="RCR8" s="111">
        <v>1.5</v>
      </c>
      <c r="RCS8" s="111">
        <v>2</v>
      </c>
      <c r="RCT8" s="111">
        <v>3.3</v>
      </c>
      <c r="RCX8" s="93">
        <v>2.2000000000000002</v>
      </c>
      <c r="RCY8" s="93">
        <v>2.8</v>
      </c>
      <c r="RDT8" s="110" t="s">
        <v>139</v>
      </c>
      <c r="RDU8" s="111">
        <v>3.1</v>
      </c>
      <c r="RDV8" s="111">
        <v>2.2000000000000002</v>
      </c>
      <c r="RDW8" s="111">
        <v>2.1</v>
      </c>
      <c r="RDX8" s="111">
        <v>1.5</v>
      </c>
      <c r="RDY8" s="111">
        <v>2</v>
      </c>
      <c r="RDZ8" s="111">
        <v>3.3</v>
      </c>
      <c r="RED8" s="93">
        <v>2.2000000000000002</v>
      </c>
      <c r="REE8" s="93">
        <v>2.8</v>
      </c>
      <c r="REZ8" s="110" t="s">
        <v>139</v>
      </c>
      <c r="RFA8" s="111">
        <v>3.1</v>
      </c>
      <c r="RFB8" s="111">
        <v>2.2000000000000002</v>
      </c>
      <c r="RFC8" s="111">
        <v>2.1</v>
      </c>
      <c r="RFD8" s="111">
        <v>1.5</v>
      </c>
      <c r="RFE8" s="111">
        <v>2</v>
      </c>
      <c r="RFF8" s="111">
        <v>3.3</v>
      </c>
      <c r="RFJ8" s="93">
        <v>2.2000000000000002</v>
      </c>
      <c r="RFK8" s="93">
        <v>2.8</v>
      </c>
      <c r="RGF8" s="110" t="s">
        <v>139</v>
      </c>
      <c r="RGG8" s="111">
        <v>3.1</v>
      </c>
      <c r="RGH8" s="111">
        <v>2.2000000000000002</v>
      </c>
      <c r="RGI8" s="111">
        <v>2.1</v>
      </c>
      <c r="RGJ8" s="111">
        <v>1.5</v>
      </c>
      <c r="RGK8" s="111">
        <v>2</v>
      </c>
      <c r="RGL8" s="111">
        <v>3.3</v>
      </c>
      <c r="RGP8" s="93">
        <v>2.2000000000000002</v>
      </c>
      <c r="RGQ8" s="93">
        <v>2.8</v>
      </c>
      <c r="RHL8" s="110" t="s">
        <v>139</v>
      </c>
      <c r="RHM8" s="111">
        <v>3.1</v>
      </c>
      <c r="RHN8" s="111">
        <v>2.2000000000000002</v>
      </c>
      <c r="RHO8" s="111">
        <v>2.1</v>
      </c>
      <c r="RHP8" s="111">
        <v>1.5</v>
      </c>
      <c r="RHQ8" s="111">
        <v>2</v>
      </c>
      <c r="RHR8" s="111">
        <v>3.3</v>
      </c>
      <c r="RHV8" s="93">
        <v>2.2000000000000002</v>
      </c>
      <c r="RHW8" s="93">
        <v>2.8</v>
      </c>
      <c r="RIR8" s="110" t="s">
        <v>139</v>
      </c>
      <c r="RIS8" s="111">
        <v>3.1</v>
      </c>
      <c r="RIT8" s="111">
        <v>2.2000000000000002</v>
      </c>
      <c r="RIU8" s="111">
        <v>2.1</v>
      </c>
      <c r="RIV8" s="111">
        <v>1.5</v>
      </c>
      <c r="RIW8" s="111">
        <v>2</v>
      </c>
      <c r="RIX8" s="111">
        <v>3.3</v>
      </c>
      <c r="RJB8" s="93">
        <v>2.2000000000000002</v>
      </c>
      <c r="RJC8" s="93">
        <v>2.8</v>
      </c>
      <c r="RJX8" s="110" t="s">
        <v>139</v>
      </c>
      <c r="RJY8" s="111">
        <v>3.1</v>
      </c>
      <c r="RJZ8" s="111">
        <v>2.2000000000000002</v>
      </c>
      <c r="RKA8" s="111">
        <v>2.1</v>
      </c>
      <c r="RKB8" s="111">
        <v>1.5</v>
      </c>
      <c r="RKC8" s="111">
        <v>2</v>
      </c>
      <c r="RKD8" s="111">
        <v>3.3</v>
      </c>
      <c r="RKH8" s="93">
        <v>2.2000000000000002</v>
      </c>
      <c r="RKI8" s="93">
        <v>2.8</v>
      </c>
      <c r="RLD8" s="110" t="s">
        <v>139</v>
      </c>
      <c r="RLE8" s="111">
        <v>3.1</v>
      </c>
      <c r="RLF8" s="111">
        <v>2.2000000000000002</v>
      </c>
      <c r="RLG8" s="111">
        <v>2.1</v>
      </c>
      <c r="RLH8" s="111">
        <v>1.5</v>
      </c>
      <c r="RLI8" s="111">
        <v>2</v>
      </c>
      <c r="RLJ8" s="111">
        <v>3.3</v>
      </c>
      <c r="RLN8" s="93">
        <v>2.2000000000000002</v>
      </c>
      <c r="RLO8" s="93">
        <v>2.8</v>
      </c>
      <c r="RMJ8" s="110" t="s">
        <v>139</v>
      </c>
      <c r="RMK8" s="111">
        <v>3.1</v>
      </c>
      <c r="RML8" s="111">
        <v>2.2000000000000002</v>
      </c>
      <c r="RMM8" s="111">
        <v>2.1</v>
      </c>
      <c r="RMN8" s="111">
        <v>1.5</v>
      </c>
      <c r="RMO8" s="111">
        <v>2</v>
      </c>
      <c r="RMP8" s="111">
        <v>3.3</v>
      </c>
      <c r="RMT8" s="93">
        <v>2.2000000000000002</v>
      </c>
      <c r="RMU8" s="93">
        <v>2.8</v>
      </c>
      <c r="RNP8" s="110" t="s">
        <v>139</v>
      </c>
      <c r="RNQ8" s="111">
        <v>3.1</v>
      </c>
      <c r="RNR8" s="111">
        <v>2.2000000000000002</v>
      </c>
      <c r="RNS8" s="111">
        <v>2.1</v>
      </c>
      <c r="RNT8" s="111">
        <v>1.5</v>
      </c>
      <c r="RNU8" s="111">
        <v>2</v>
      </c>
      <c r="RNV8" s="111">
        <v>3.3</v>
      </c>
      <c r="RNZ8" s="93">
        <v>2.2000000000000002</v>
      </c>
      <c r="ROA8" s="93">
        <v>2.8</v>
      </c>
      <c r="ROV8" s="110" t="s">
        <v>139</v>
      </c>
      <c r="ROW8" s="111">
        <v>3.1</v>
      </c>
      <c r="ROX8" s="111">
        <v>2.2000000000000002</v>
      </c>
      <c r="ROY8" s="111">
        <v>2.1</v>
      </c>
      <c r="ROZ8" s="111">
        <v>1.5</v>
      </c>
      <c r="RPA8" s="111">
        <v>2</v>
      </c>
      <c r="RPB8" s="111">
        <v>3.3</v>
      </c>
      <c r="RPF8" s="93">
        <v>2.2000000000000002</v>
      </c>
      <c r="RPG8" s="93">
        <v>2.8</v>
      </c>
      <c r="RQB8" s="110" t="s">
        <v>139</v>
      </c>
      <c r="RQC8" s="111">
        <v>3.1</v>
      </c>
      <c r="RQD8" s="111">
        <v>2.2000000000000002</v>
      </c>
      <c r="RQE8" s="111">
        <v>2.1</v>
      </c>
      <c r="RQF8" s="111">
        <v>1.5</v>
      </c>
      <c r="RQG8" s="111">
        <v>2</v>
      </c>
      <c r="RQH8" s="111">
        <v>3.3</v>
      </c>
      <c r="RQL8" s="93">
        <v>2.2000000000000002</v>
      </c>
      <c r="RQM8" s="93">
        <v>2.8</v>
      </c>
      <c r="RRH8" s="110" t="s">
        <v>139</v>
      </c>
      <c r="RRI8" s="111">
        <v>3.1</v>
      </c>
      <c r="RRJ8" s="111">
        <v>2.2000000000000002</v>
      </c>
      <c r="RRK8" s="111">
        <v>2.1</v>
      </c>
      <c r="RRL8" s="111">
        <v>1.5</v>
      </c>
      <c r="RRM8" s="111">
        <v>2</v>
      </c>
      <c r="RRN8" s="111">
        <v>3.3</v>
      </c>
      <c r="RRR8" s="93">
        <v>2.2000000000000002</v>
      </c>
      <c r="RRS8" s="93">
        <v>2.8</v>
      </c>
      <c r="RSN8" s="110" t="s">
        <v>139</v>
      </c>
      <c r="RSO8" s="111">
        <v>3.1</v>
      </c>
      <c r="RSP8" s="111">
        <v>2.2000000000000002</v>
      </c>
      <c r="RSQ8" s="111">
        <v>2.1</v>
      </c>
      <c r="RSR8" s="111">
        <v>1.5</v>
      </c>
      <c r="RSS8" s="111">
        <v>2</v>
      </c>
      <c r="RST8" s="111">
        <v>3.3</v>
      </c>
      <c r="RSX8" s="93">
        <v>2.2000000000000002</v>
      </c>
      <c r="RSY8" s="93">
        <v>2.8</v>
      </c>
      <c r="RTT8" s="110" t="s">
        <v>139</v>
      </c>
      <c r="RTU8" s="111">
        <v>3.1</v>
      </c>
      <c r="RTV8" s="111">
        <v>2.2000000000000002</v>
      </c>
      <c r="RTW8" s="111">
        <v>2.1</v>
      </c>
      <c r="RTX8" s="111">
        <v>1.5</v>
      </c>
      <c r="RTY8" s="111">
        <v>2</v>
      </c>
      <c r="RTZ8" s="111">
        <v>3.3</v>
      </c>
      <c r="RUD8" s="93">
        <v>2.2000000000000002</v>
      </c>
      <c r="RUE8" s="93">
        <v>2.8</v>
      </c>
      <c r="RUZ8" s="110" t="s">
        <v>139</v>
      </c>
      <c r="RVA8" s="111">
        <v>3.1</v>
      </c>
      <c r="RVB8" s="111">
        <v>2.2000000000000002</v>
      </c>
      <c r="RVC8" s="111">
        <v>2.1</v>
      </c>
      <c r="RVD8" s="111">
        <v>1.5</v>
      </c>
      <c r="RVE8" s="111">
        <v>2</v>
      </c>
      <c r="RVF8" s="111">
        <v>3.3</v>
      </c>
      <c r="RVJ8" s="93">
        <v>2.2000000000000002</v>
      </c>
      <c r="RVK8" s="93">
        <v>2.8</v>
      </c>
      <c r="RWF8" s="110" t="s">
        <v>139</v>
      </c>
      <c r="RWG8" s="111">
        <v>3.1</v>
      </c>
      <c r="RWH8" s="111">
        <v>2.2000000000000002</v>
      </c>
      <c r="RWI8" s="111">
        <v>2.1</v>
      </c>
      <c r="RWJ8" s="111">
        <v>1.5</v>
      </c>
      <c r="RWK8" s="111">
        <v>2</v>
      </c>
      <c r="RWL8" s="111">
        <v>3.3</v>
      </c>
      <c r="RWP8" s="93">
        <v>2.2000000000000002</v>
      </c>
      <c r="RWQ8" s="93">
        <v>2.8</v>
      </c>
      <c r="RXL8" s="110" t="s">
        <v>139</v>
      </c>
      <c r="RXM8" s="111">
        <v>3.1</v>
      </c>
      <c r="RXN8" s="111">
        <v>2.2000000000000002</v>
      </c>
      <c r="RXO8" s="111">
        <v>2.1</v>
      </c>
      <c r="RXP8" s="111">
        <v>1.5</v>
      </c>
      <c r="RXQ8" s="111">
        <v>2</v>
      </c>
      <c r="RXR8" s="111">
        <v>3.3</v>
      </c>
      <c r="RXV8" s="93">
        <v>2.2000000000000002</v>
      </c>
      <c r="RXW8" s="93">
        <v>2.8</v>
      </c>
      <c r="RYR8" s="110" t="s">
        <v>139</v>
      </c>
      <c r="RYS8" s="111">
        <v>3.1</v>
      </c>
      <c r="RYT8" s="111">
        <v>2.2000000000000002</v>
      </c>
      <c r="RYU8" s="111">
        <v>2.1</v>
      </c>
      <c r="RYV8" s="111">
        <v>1.5</v>
      </c>
      <c r="RYW8" s="111">
        <v>2</v>
      </c>
      <c r="RYX8" s="111">
        <v>3.3</v>
      </c>
      <c r="RZB8" s="93">
        <v>2.2000000000000002</v>
      </c>
      <c r="RZC8" s="93">
        <v>2.8</v>
      </c>
      <c r="RZX8" s="110" t="s">
        <v>139</v>
      </c>
      <c r="RZY8" s="111">
        <v>3.1</v>
      </c>
      <c r="RZZ8" s="111">
        <v>2.2000000000000002</v>
      </c>
      <c r="SAA8" s="111">
        <v>2.1</v>
      </c>
      <c r="SAB8" s="111">
        <v>1.5</v>
      </c>
      <c r="SAC8" s="111">
        <v>2</v>
      </c>
      <c r="SAD8" s="111">
        <v>3.3</v>
      </c>
      <c r="SAH8" s="93">
        <v>2.2000000000000002</v>
      </c>
      <c r="SAI8" s="93">
        <v>2.8</v>
      </c>
      <c r="SBD8" s="110" t="s">
        <v>139</v>
      </c>
      <c r="SBE8" s="111">
        <v>3.1</v>
      </c>
      <c r="SBF8" s="111">
        <v>2.2000000000000002</v>
      </c>
      <c r="SBG8" s="111">
        <v>2.1</v>
      </c>
      <c r="SBH8" s="111">
        <v>1.5</v>
      </c>
      <c r="SBI8" s="111">
        <v>2</v>
      </c>
      <c r="SBJ8" s="111">
        <v>3.3</v>
      </c>
      <c r="SBN8" s="93">
        <v>2.2000000000000002</v>
      </c>
      <c r="SBO8" s="93">
        <v>2.8</v>
      </c>
      <c r="SCJ8" s="110" t="s">
        <v>139</v>
      </c>
      <c r="SCK8" s="111">
        <v>3.1</v>
      </c>
      <c r="SCL8" s="111">
        <v>2.2000000000000002</v>
      </c>
      <c r="SCM8" s="111">
        <v>2.1</v>
      </c>
      <c r="SCN8" s="111">
        <v>1.5</v>
      </c>
      <c r="SCO8" s="111">
        <v>2</v>
      </c>
      <c r="SCP8" s="111">
        <v>3.3</v>
      </c>
      <c r="SCT8" s="93">
        <v>2.2000000000000002</v>
      </c>
      <c r="SCU8" s="93">
        <v>2.8</v>
      </c>
      <c r="SDP8" s="110" t="s">
        <v>139</v>
      </c>
      <c r="SDQ8" s="111">
        <v>3.1</v>
      </c>
      <c r="SDR8" s="111">
        <v>2.2000000000000002</v>
      </c>
      <c r="SDS8" s="111">
        <v>2.1</v>
      </c>
      <c r="SDT8" s="111">
        <v>1.5</v>
      </c>
      <c r="SDU8" s="111">
        <v>2</v>
      </c>
      <c r="SDV8" s="111">
        <v>3.3</v>
      </c>
      <c r="SDZ8" s="93">
        <v>2.2000000000000002</v>
      </c>
      <c r="SEA8" s="93">
        <v>2.8</v>
      </c>
      <c r="SEV8" s="110" t="s">
        <v>139</v>
      </c>
      <c r="SEW8" s="111">
        <v>3.1</v>
      </c>
      <c r="SEX8" s="111">
        <v>2.2000000000000002</v>
      </c>
      <c r="SEY8" s="111">
        <v>2.1</v>
      </c>
      <c r="SEZ8" s="111">
        <v>1.5</v>
      </c>
      <c r="SFA8" s="111">
        <v>2</v>
      </c>
      <c r="SFB8" s="111">
        <v>3.3</v>
      </c>
      <c r="SFF8" s="93">
        <v>2.2000000000000002</v>
      </c>
      <c r="SFG8" s="93">
        <v>2.8</v>
      </c>
      <c r="SGB8" s="110" t="s">
        <v>139</v>
      </c>
      <c r="SGC8" s="111">
        <v>3.1</v>
      </c>
      <c r="SGD8" s="111">
        <v>2.2000000000000002</v>
      </c>
      <c r="SGE8" s="111">
        <v>2.1</v>
      </c>
      <c r="SGF8" s="111">
        <v>1.5</v>
      </c>
      <c r="SGG8" s="111">
        <v>2</v>
      </c>
      <c r="SGH8" s="111">
        <v>3.3</v>
      </c>
      <c r="SGL8" s="93">
        <v>2.2000000000000002</v>
      </c>
      <c r="SGM8" s="93">
        <v>2.8</v>
      </c>
      <c r="SHH8" s="110" t="s">
        <v>139</v>
      </c>
      <c r="SHI8" s="111">
        <v>3.1</v>
      </c>
      <c r="SHJ8" s="111">
        <v>2.2000000000000002</v>
      </c>
      <c r="SHK8" s="111">
        <v>2.1</v>
      </c>
      <c r="SHL8" s="111">
        <v>1.5</v>
      </c>
      <c r="SHM8" s="111">
        <v>2</v>
      </c>
      <c r="SHN8" s="111">
        <v>3.3</v>
      </c>
      <c r="SHR8" s="93">
        <v>2.2000000000000002</v>
      </c>
      <c r="SHS8" s="93">
        <v>2.8</v>
      </c>
      <c r="SIN8" s="110" t="s">
        <v>139</v>
      </c>
      <c r="SIO8" s="111">
        <v>3.1</v>
      </c>
      <c r="SIP8" s="111">
        <v>2.2000000000000002</v>
      </c>
      <c r="SIQ8" s="111">
        <v>2.1</v>
      </c>
      <c r="SIR8" s="111">
        <v>1.5</v>
      </c>
      <c r="SIS8" s="111">
        <v>2</v>
      </c>
      <c r="SIT8" s="111">
        <v>3.3</v>
      </c>
      <c r="SIX8" s="93">
        <v>2.2000000000000002</v>
      </c>
      <c r="SIY8" s="93">
        <v>2.8</v>
      </c>
      <c r="SJT8" s="110" t="s">
        <v>139</v>
      </c>
      <c r="SJU8" s="111">
        <v>3.1</v>
      </c>
      <c r="SJV8" s="111">
        <v>2.2000000000000002</v>
      </c>
      <c r="SJW8" s="111">
        <v>2.1</v>
      </c>
      <c r="SJX8" s="111">
        <v>1.5</v>
      </c>
      <c r="SJY8" s="111">
        <v>2</v>
      </c>
      <c r="SJZ8" s="111">
        <v>3.3</v>
      </c>
      <c r="SKD8" s="93">
        <v>2.2000000000000002</v>
      </c>
      <c r="SKE8" s="93">
        <v>2.8</v>
      </c>
      <c r="SKZ8" s="110" t="s">
        <v>139</v>
      </c>
      <c r="SLA8" s="111">
        <v>3.1</v>
      </c>
      <c r="SLB8" s="111">
        <v>2.2000000000000002</v>
      </c>
      <c r="SLC8" s="111">
        <v>2.1</v>
      </c>
      <c r="SLD8" s="111">
        <v>1.5</v>
      </c>
      <c r="SLE8" s="111">
        <v>2</v>
      </c>
      <c r="SLF8" s="111">
        <v>3.3</v>
      </c>
      <c r="SLJ8" s="93">
        <v>2.2000000000000002</v>
      </c>
      <c r="SLK8" s="93">
        <v>2.8</v>
      </c>
      <c r="SMF8" s="110" t="s">
        <v>139</v>
      </c>
      <c r="SMG8" s="111">
        <v>3.1</v>
      </c>
      <c r="SMH8" s="111">
        <v>2.2000000000000002</v>
      </c>
      <c r="SMI8" s="111">
        <v>2.1</v>
      </c>
      <c r="SMJ8" s="111">
        <v>1.5</v>
      </c>
      <c r="SMK8" s="111">
        <v>2</v>
      </c>
      <c r="SML8" s="111">
        <v>3.3</v>
      </c>
      <c r="SMP8" s="93">
        <v>2.2000000000000002</v>
      </c>
      <c r="SMQ8" s="93">
        <v>2.8</v>
      </c>
      <c r="SNL8" s="110" t="s">
        <v>139</v>
      </c>
      <c r="SNM8" s="111">
        <v>3.1</v>
      </c>
      <c r="SNN8" s="111">
        <v>2.2000000000000002</v>
      </c>
      <c r="SNO8" s="111">
        <v>2.1</v>
      </c>
      <c r="SNP8" s="111">
        <v>1.5</v>
      </c>
      <c r="SNQ8" s="111">
        <v>2</v>
      </c>
      <c r="SNR8" s="111">
        <v>3.3</v>
      </c>
      <c r="SNV8" s="93">
        <v>2.2000000000000002</v>
      </c>
      <c r="SNW8" s="93">
        <v>2.8</v>
      </c>
      <c r="SOR8" s="110" t="s">
        <v>139</v>
      </c>
      <c r="SOS8" s="111">
        <v>3.1</v>
      </c>
      <c r="SOT8" s="111">
        <v>2.2000000000000002</v>
      </c>
      <c r="SOU8" s="111">
        <v>2.1</v>
      </c>
      <c r="SOV8" s="111">
        <v>1.5</v>
      </c>
      <c r="SOW8" s="111">
        <v>2</v>
      </c>
      <c r="SOX8" s="111">
        <v>3.3</v>
      </c>
      <c r="SPB8" s="93">
        <v>2.2000000000000002</v>
      </c>
      <c r="SPC8" s="93">
        <v>2.8</v>
      </c>
      <c r="SPX8" s="110" t="s">
        <v>139</v>
      </c>
      <c r="SPY8" s="111">
        <v>3.1</v>
      </c>
      <c r="SPZ8" s="111">
        <v>2.2000000000000002</v>
      </c>
      <c r="SQA8" s="111">
        <v>2.1</v>
      </c>
      <c r="SQB8" s="111">
        <v>1.5</v>
      </c>
      <c r="SQC8" s="111">
        <v>2</v>
      </c>
      <c r="SQD8" s="111">
        <v>3.3</v>
      </c>
      <c r="SQH8" s="93">
        <v>2.2000000000000002</v>
      </c>
      <c r="SQI8" s="93">
        <v>2.8</v>
      </c>
      <c r="SRD8" s="110" t="s">
        <v>139</v>
      </c>
      <c r="SRE8" s="111">
        <v>3.1</v>
      </c>
      <c r="SRF8" s="111">
        <v>2.2000000000000002</v>
      </c>
      <c r="SRG8" s="111">
        <v>2.1</v>
      </c>
      <c r="SRH8" s="111">
        <v>1.5</v>
      </c>
      <c r="SRI8" s="111">
        <v>2</v>
      </c>
      <c r="SRJ8" s="111">
        <v>3.3</v>
      </c>
      <c r="SRN8" s="93">
        <v>2.2000000000000002</v>
      </c>
      <c r="SRO8" s="93">
        <v>2.8</v>
      </c>
      <c r="SSJ8" s="110" t="s">
        <v>139</v>
      </c>
      <c r="SSK8" s="111">
        <v>3.1</v>
      </c>
      <c r="SSL8" s="111">
        <v>2.2000000000000002</v>
      </c>
      <c r="SSM8" s="111">
        <v>2.1</v>
      </c>
      <c r="SSN8" s="111">
        <v>1.5</v>
      </c>
      <c r="SSO8" s="111">
        <v>2</v>
      </c>
      <c r="SSP8" s="111">
        <v>3.3</v>
      </c>
      <c r="SST8" s="93">
        <v>2.2000000000000002</v>
      </c>
      <c r="SSU8" s="93">
        <v>2.8</v>
      </c>
      <c r="STP8" s="110" t="s">
        <v>139</v>
      </c>
      <c r="STQ8" s="111">
        <v>3.1</v>
      </c>
      <c r="STR8" s="111">
        <v>2.2000000000000002</v>
      </c>
      <c r="STS8" s="111">
        <v>2.1</v>
      </c>
      <c r="STT8" s="111">
        <v>1.5</v>
      </c>
      <c r="STU8" s="111">
        <v>2</v>
      </c>
      <c r="STV8" s="111">
        <v>3.3</v>
      </c>
      <c r="STZ8" s="93">
        <v>2.2000000000000002</v>
      </c>
      <c r="SUA8" s="93">
        <v>2.8</v>
      </c>
      <c r="SUV8" s="110" t="s">
        <v>139</v>
      </c>
      <c r="SUW8" s="111">
        <v>3.1</v>
      </c>
      <c r="SUX8" s="111">
        <v>2.2000000000000002</v>
      </c>
      <c r="SUY8" s="111">
        <v>2.1</v>
      </c>
      <c r="SUZ8" s="111">
        <v>1.5</v>
      </c>
      <c r="SVA8" s="111">
        <v>2</v>
      </c>
      <c r="SVB8" s="111">
        <v>3.3</v>
      </c>
      <c r="SVF8" s="93">
        <v>2.2000000000000002</v>
      </c>
      <c r="SVG8" s="93">
        <v>2.8</v>
      </c>
      <c r="SWB8" s="110" t="s">
        <v>139</v>
      </c>
      <c r="SWC8" s="111">
        <v>3.1</v>
      </c>
      <c r="SWD8" s="111">
        <v>2.2000000000000002</v>
      </c>
      <c r="SWE8" s="111">
        <v>2.1</v>
      </c>
      <c r="SWF8" s="111">
        <v>1.5</v>
      </c>
      <c r="SWG8" s="111">
        <v>2</v>
      </c>
      <c r="SWH8" s="111">
        <v>3.3</v>
      </c>
      <c r="SWL8" s="93">
        <v>2.2000000000000002</v>
      </c>
      <c r="SWM8" s="93">
        <v>2.8</v>
      </c>
      <c r="SXH8" s="110" t="s">
        <v>139</v>
      </c>
      <c r="SXI8" s="111">
        <v>3.1</v>
      </c>
      <c r="SXJ8" s="111">
        <v>2.2000000000000002</v>
      </c>
      <c r="SXK8" s="111">
        <v>2.1</v>
      </c>
      <c r="SXL8" s="111">
        <v>1.5</v>
      </c>
      <c r="SXM8" s="111">
        <v>2</v>
      </c>
      <c r="SXN8" s="111">
        <v>3.3</v>
      </c>
      <c r="SXR8" s="93">
        <v>2.2000000000000002</v>
      </c>
      <c r="SXS8" s="93">
        <v>2.8</v>
      </c>
      <c r="SYN8" s="110" t="s">
        <v>139</v>
      </c>
      <c r="SYO8" s="111">
        <v>3.1</v>
      </c>
      <c r="SYP8" s="111">
        <v>2.2000000000000002</v>
      </c>
      <c r="SYQ8" s="111">
        <v>2.1</v>
      </c>
      <c r="SYR8" s="111">
        <v>1.5</v>
      </c>
      <c r="SYS8" s="111">
        <v>2</v>
      </c>
      <c r="SYT8" s="111">
        <v>3.3</v>
      </c>
      <c r="SYX8" s="93">
        <v>2.2000000000000002</v>
      </c>
      <c r="SYY8" s="93">
        <v>2.8</v>
      </c>
      <c r="SZT8" s="110" t="s">
        <v>139</v>
      </c>
      <c r="SZU8" s="111">
        <v>3.1</v>
      </c>
      <c r="SZV8" s="111">
        <v>2.2000000000000002</v>
      </c>
      <c r="SZW8" s="111">
        <v>2.1</v>
      </c>
      <c r="SZX8" s="111">
        <v>1.5</v>
      </c>
      <c r="SZY8" s="111">
        <v>2</v>
      </c>
      <c r="SZZ8" s="111">
        <v>3.3</v>
      </c>
      <c r="TAD8" s="93">
        <v>2.2000000000000002</v>
      </c>
      <c r="TAE8" s="93">
        <v>2.8</v>
      </c>
      <c r="TAZ8" s="110" t="s">
        <v>139</v>
      </c>
      <c r="TBA8" s="111">
        <v>3.1</v>
      </c>
      <c r="TBB8" s="111">
        <v>2.2000000000000002</v>
      </c>
      <c r="TBC8" s="111">
        <v>2.1</v>
      </c>
      <c r="TBD8" s="111">
        <v>1.5</v>
      </c>
      <c r="TBE8" s="111">
        <v>2</v>
      </c>
      <c r="TBF8" s="111">
        <v>3.3</v>
      </c>
      <c r="TBJ8" s="93">
        <v>2.2000000000000002</v>
      </c>
      <c r="TBK8" s="93">
        <v>2.8</v>
      </c>
      <c r="TCF8" s="110" t="s">
        <v>139</v>
      </c>
      <c r="TCG8" s="111">
        <v>3.1</v>
      </c>
      <c r="TCH8" s="111">
        <v>2.2000000000000002</v>
      </c>
      <c r="TCI8" s="111">
        <v>2.1</v>
      </c>
      <c r="TCJ8" s="111">
        <v>1.5</v>
      </c>
      <c r="TCK8" s="111">
        <v>2</v>
      </c>
      <c r="TCL8" s="111">
        <v>3.3</v>
      </c>
      <c r="TCP8" s="93">
        <v>2.2000000000000002</v>
      </c>
      <c r="TCQ8" s="93">
        <v>2.8</v>
      </c>
      <c r="TDL8" s="110" t="s">
        <v>139</v>
      </c>
      <c r="TDM8" s="111">
        <v>3.1</v>
      </c>
      <c r="TDN8" s="111">
        <v>2.2000000000000002</v>
      </c>
      <c r="TDO8" s="111">
        <v>2.1</v>
      </c>
      <c r="TDP8" s="111">
        <v>1.5</v>
      </c>
      <c r="TDQ8" s="111">
        <v>2</v>
      </c>
      <c r="TDR8" s="111">
        <v>3.3</v>
      </c>
      <c r="TDV8" s="93">
        <v>2.2000000000000002</v>
      </c>
      <c r="TDW8" s="93">
        <v>2.8</v>
      </c>
      <c r="TER8" s="110" t="s">
        <v>139</v>
      </c>
      <c r="TES8" s="111">
        <v>3.1</v>
      </c>
      <c r="TET8" s="111">
        <v>2.2000000000000002</v>
      </c>
      <c r="TEU8" s="111">
        <v>2.1</v>
      </c>
      <c r="TEV8" s="111">
        <v>1.5</v>
      </c>
      <c r="TEW8" s="111">
        <v>2</v>
      </c>
      <c r="TEX8" s="111">
        <v>3.3</v>
      </c>
      <c r="TFB8" s="93">
        <v>2.2000000000000002</v>
      </c>
      <c r="TFC8" s="93">
        <v>2.8</v>
      </c>
      <c r="TFX8" s="110" t="s">
        <v>139</v>
      </c>
      <c r="TFY8" s="111">
        <v>3.1</v>
      </c>
      <c r="TFZ8" s="111">
        <v>2.2000000000000002</v>
      </c>
      <c r="TGA8" s="111">
        <v>2.1</v>
      </c>
      <c r="TGB8" s="111">
        <v>1.5</v>
      </c>
      <c r="TGC8" s="111">
        <v>2</v>
      </c>
      <c r="TGD8" s="111">
        <v>3.3</v>
      </c>
      <c r="TGH8" s="93">
        <v>2.2000000000000002</v>
      </c>
      <c r="TGI8" s="93">
        <v>2.8</v>
      </c>
      <c r="THD8" s="110" t="s">
        <v>139</v>
      </c>
      <c r="THE8" s="111">
        <v>3.1</v>
      </c>
      <c r="THF8" s="111">
        <v>2.2000000000000002</v>
      </c>
      <c r="THG8" s="111">
        <v>2.1</v>
      </c>
      <c r="THH8" s="111">
        <v>1.5</v>
      </c>
      <c r="THI8" s="111">
        <v>2</v>
      </c>
      <c r="THJ8" s="111">
        <v>3.3</v>
      </c>
      <c r="THN8" s="93">
        <v>2.2000000000000002</v>
      </c>
      <c r="THO8" s="93">
        <v>2.8</v>
      </c>
      <c r="TIJ8" s="110" t="s">
        <v>139</v>
      </c>
      <c r="TIK8" s="111">
        <v>3.1</v>
      </c>
      <c r="TIL8" s="111">
        <v>2.2000000000000002</v>
      </c>
      <c r="TIM8" s="111">
        <v>2.1</v>
      </c>
      <c r="TIN8" s="111">
        <v>1.5</v>
      </c>
      <c r="TIO8" s="111">
        <v>2</v>
      </c>
      <c r="TIP8" s="111">
        <v>3.3</v>
      </c>
      <c r="TIT8" s="93">
        <v>2.2000000000000002</v>
      </c>
      <c r="TIU8" s="93">
        <v>2.8</v>
      </c>
      <c r="TJP8" s="110" t="s">
        <v>139</v>
      </c>
      <c r="TJQ8" s="111">
        <v>3.1</v>
      </c>
      <c r="TJR8" s="111">
        <v>2.2000000000000002</v>
      </c>
      <c r="TJS8" s="111">
        <v>2.1</v>
      </c>
      <c r="TJT8" s="111">
        <v>1.5</v>
      </c>
      <c r="TJU8" s="111">
        <v>2</v>
      </c>
      <c r="TJV8" s="111">
        <v>3.3</v>
      </c>
      <c r="TJZ8" s="93">
        <v>2.2000000000000002</v>
      </c>
      <c r="TKA8" s="93">
        <v>2.8</v>
      </c>
      <c r="TKV8" s="110" t="s">
        <v>139</v>
      </c>
      <c r="TKW8" s="111">
        <v>3.1</v>
      </c>
      <c r="TKX8" s="111">
        <v>2.2000000000000002</v>
      </c>
      <c r="TKY8" s="111">
        <v>2.1</v>
      </c>
      <c r="TKZ8" s="111">
        <v>1.5</v>
      </c>
      <c r="TLA8" s="111">
        <v>2</v>
      </c>
      <c r="TLB8" s="111">
        <v>3.3</v>
      </c>
      <c r="TLF8" s="93">
        <v>2.2000000000000002</v>
      </c>
      <c r="TLG8" s="93">
        <v>2.8</v>
      </c>
      <c r="TMB8" s="110" t="s">
        <v>139</v>
      </c>
      <c r="TMC8" s="111">
        <v>3.1</v>
      </c>
      <c r="TMD8" s="111">
        <v>2.2000000000000002</v>
      </c>
      <c r="TME8" s="111">
        <v>2.1</v>
      </c>
      <c r="TMF8" s="111">
        <v>1.5</v>
      </c>
      <c r="TMG8" s="111">
        <v>2</v>
      </c>
      <c r="TMH8" s="111">
        <v>3.3</v>
      </c>
      <c r="TML8" s="93">
        <v>2.2000000000000002</v>
      </c>
      <c r="TMM8" s="93">
        <v>2.8</v>
      </c>
      <c r="TNH8" s="110" t="s">
        <v>139</v>
      </c>
      <c r="TNI8" s="111">
        <v>3.1</v>
      </c>
      <c r="TNJ8" s="111">
        <v>2.2000000000000002</v>
      </c>
      <c r="TNK8" s="111">
        <v>2.1</v>
      </c>
      <c r="TNL8" s="111">
        <v>1.5</v>
      </c>
      <c r="TNM8" s="111">
        <v>2</v>
      </c>
      <c r="TNN8" s="111">
        <v>3.3</v>
      </c>
      <c r="TNR8" s="93">
        <v>2.2000000000000002</v>
      </c>
      <c r="TNS8" s="93">
        <v>2.8</v>
      </c>
      <c r="TON8" s="110" t="s">
        <v>139</v>
      </c>
      <c r="TOO8" s="111">
        <v>3.1</v>
      </c>
      <c r="TOP8" s="111">
        <v>2.2000000000000002</v>
      </c>
      <c r="TOQ8" s="111">
        <v>2.1</v>
      </c>
      <c r="TOR8" s="111">
        <v>1.5</v>
      </c>
      <c r="TOS8" s="111">
        <v>2</v>
      </c>
      <c r="TOT8" s="111">
        <v>3.3</v>
      </c>
      <c r="TOX8" s="93">
        <v>2.2000000000000002</v>
      </c>
      <c r="TOY8" s="93">
        <v>2.8</v>
      </c>
      <c r="TPT8" s="110" t="s">
        <v>139</v>
      </c>
      <c r="TPU8" s="111">
        <v>3.1</v>
      </c>
      <c r="TPV8" s="111">
        <v>2.2000000000000002</v>
      </c>
      <c r="TPW8" s="111">
        <v>2.1</v>
      </c>
      <c r="TPX8" s="111">
        <v>1.5</v>
      </c>
      <c r="TPY8" s="111">
        <v>2</v>
      </c>
      <c r="TPZ8" s="111">
        <v>3.3</v>
      </c>
      <c r="TQD8" s="93">
        <v>2.2000000000000002</v>
      </c>
      <c r="TQE8" s="93">
        <v>2.8</v>
      </c>
      <c r="TQZ8" s="110" t="s">
        <v>139</v>
      </c>
      <c r="TRA8" s="111">
        <v>3.1</v>
      </c>
      <c r="TRB8" s="111">
        <v>2.2000000000000002</v>
      </c>
      <c r="TRC8" s="111">
        <v>2.1</v>
      </c>
      <c r="TRD8" s="111">
        <v>1.5</v>
      </c>
      <c r="TRE8" s="111">
        <v>2</v>
      </c>
      <c r="TRF8" s="111">
        <v>3.3</v>
      </c>
      <c r="TRJ8" s="93">
        <v>2.2000000000000002</v>
      </c>
      <c r="TRK8" s="93">
        <v>2.8</v>
      </c>
      <c r="TSF8" s="110" t="s">
        <v>139</v>
      </c>
      <c r="TSG8" s="111">
        <v>3.1</v>
      </c>
      <c r="TSH8" s="111">
        <v>2.2000000000000002</v>
      </c>
      <c r="TSI8" s="111">
        <v>2.1</v>
      </c>
      <c r="TSJ8" s="111">
        <v>1.5</v>
      </c>
      <c r="TSK8" s="111">
        <v>2</v>
      </c>
      <c r="TSL8" s="111">
        <v>3.3</v>
      </c>
      <c r="TSP8" s="93">
        <v>2.2000000000000002</v>
      </c>
      <c r="TSQ8" s="93">
        <v>2.8</v>
      </c>
      <c r="TTL8" s="110" t="s">
        <v>139</v>
      </c>
      <c r="TTM8" s="111">
        <v>3.1</v>
      </c>
      <c r="TTN8" s="111">
        <v>2.2000000000000002</v>
      </c>
      <c r="TTO8" s="111">
        <v>2.1</v>
      </c>
      <c r="TTP8" s="111">
        <v>1.5</v>
      </c>
      <c r="TTQ8" s="111">
        <v>2</v>
      </c>
      <c r="TTR8" s="111">
        <v>3.3</v>
      </c>
      <c r="TTV8" s="93">
        <v>2.2000000000000002</v>
      </c>
      <c r="TTW8" s="93">
        <v>2.8</v>
      </c>
      <c r="TUR8" s="110" t="s">
        <v>139</v>
      </c>
      <c r="TUS8" s="111">
        <v>3.1</v>
      </c>
      <c r="TUT8" s="111">
        <v>2.2000000000000002</v>
      </c>
      <c r="TUU8" s="111">
        <v>2.1</v>
      </c>
      <c r="TUV8" s="111">
        <v>1.5</v>
      </c>
      <c r="TUW8" s="111">
        <v>2</v>
      </c>
      <c r="TUX8" s="111">
        <v>3.3</v>
      </c>
      <c r="TVB8" s="93">
        <v>2.2000000000000002</v>
      </c>
      <c r="TVC8" s="93">
        <v>2.8</v>
      </c>
      <c r="TVX8" s="110" t="s">
        <v>139</v>
      </c>
      <c r="TVY8" s="111">
        <v>3.1</v>
      </c>
      <c r="TVZ8" s="111">
        <v>2.2000000000000002</v>
      </c>
      <c r="TWA8" s="111">
        <v>2.1</v>
      </c>
      <c r="TWB8" s="111">
        <v>1.5</v>
      </c>
      <c r="TWC8" s="111">
        <v>2</v>
      </c>
      <c r="TWD8" s="111">
        <v>3.3</v>
      </c>
      <c r="TWH8" s="93">
        <v>2.2000000000000002</v>
      </c>
      <c r="TWI8" s="93">
        <v>2.8</v>
      </c>
      <c r="TXD8" s="110" t="s">
        <v>139</v>
      </c>
      <c r="TXE8" s="111">
        <v>3.1</v>
      </c>
      <c r="TXF8" s="111">
        <v>2.2000000000000002</v>
      </c>
      <c r="TXG8" s="111">
        <v>2.1</v>
      </c>
      <c r="TXH8" s="111">
        <v>1.5</v>
      </c>
      <c r="TXI8" s="111">
        <v>2</v>
      </c>
      <c r="TXJ8" s="111">
        <v>3.3</v>
      </c>
      <c r="TXN8" s="93">
        <v>2.2000000000000002</v>
      </c>
      <c r="TXO8" s="93">
        <v>2.8</v>
      </c>
      <c r="TYJ8" s="110" t="s">
        <v>139</v>
      </c>
      <c r="TYK8" s="111">
        <v>3.1</v>
      </c>
      <c r="TYL8" s="111">
        <v>2.2000000000000002</v>
      </c>
      <c r="TYM8" s="111">
        <v>2.1</v>
      </c>
      <c r="TYN8" s="111">
        <v>1.5</v>
      </c>
      <c r="TYO8" s="111">
        <v>2</v>
      </c>
      <c r="TYP8" s="111">
        <v>3.3</v>
      </c>
      <c r="TYT8" s="93">
        <v>2.2000000000000002</v>
      </c>
      <c r="TYU8" s="93">
        <v>2.8</v>
      </c>
      <c r="TZP8" s="110" t="s">
        <v>139</v>
      </c>
      <c r="TZQ8" s="111">
        <v>3.1</v>
      </c>
      <c r="TZR8" s="111">
        <v>2.2000000000000002</v>
      </c>
      <c r="TZS8" s="111">
        <v>2.1</v>
      </c>
      <c r="TZT8" s="111">
        <v>1.5</v>
      </c>
      <c r="TZU8" s="111">
        <v>2</v>
      </c>
      <c r="TZV8" s="111">
        <v>3.3</v>
      </c>
      <c r="TZZ8" s="93">
        <v>2.2000000000000002</v>
      </c>
      <c r="UAA8" s="93">
        <v>2.8</v>
      </c>
      <c r="UAV8" s="110" t="s">
        <v>139</v>
      </c>
      <c r="UAW8" s="111">
        <v>3.1</v>
      </c>
      <c r="UAX8" s="111">
        <v>2.2000000000000002</v>
      </c>
      <c r="UAY8" s="111">
        <v>2.1</v>
      </c>
      <c r="UAZ8" s="111">
        <v>1.5</v>
      </c>
      <c r="UBA8" s="111">
        <v>2</v>
      </c>
      <c r="UBB8" s="111">
        <v>3.3</v>
      </c>
      <c r="UBF8" s="93">
        <v>2.2000000000000002</v>
      </c>
      <c r="UBG8" s="93">
        <v>2.8</v>
      </c>
      <c r="UCB8" s="110" t="s">
        <v>139</v>
      </c>
      <c r="UCC8" s="111">
        <v>3.1</v>
      </c>
      <c r="UCD8" s="111">
        <v>2.2000000000000002</v>
      </c>
      <c r="UCE8" s="111">
        <v>2.1</v>
      </c>
      <c r="UCF8" s="111">
        <v>1.5</v>
      </c>
      <c r="UCG8" s="111">
        <v>2</v>
      </c>
      <c r="UCH8" s="111">
        <v>3.3</v>
      </c>
      <c r="UCL8" s="93">
        <v>2.2000000000000002</v>
      </c>
      <c r="UCM8" s="93">
        <v>2.8</v>
      </c>
      <c r="UDH8" s="110" t="s">
        <v>139</v>
      </c>
      <c r="UDI8" s="111">
        <v>3.1</v>
      </c>
      <c r="UDJ8" s="111">
        <v>2.2000000000000002</v>
      </c>
      <c r="UDK8" s="111">
        <v>2.1</v>
      </c>
      <c r="UDL8" s="111">
        <v>1.5</v>
      </c>
      <c r="UDM8" s="111">
        <v>2</v>
      </c>
      <c r="UDN8" s="111">
        <v>3.3</v>
      </c>
      <c r="UDR8" s="93">
        <v>2.2000000000000002</v>
      </c>
      <c r="UDS8" s="93">
        <v>2.8</v>
      </c>
      <c r="UEN8" s="110" t="s">
        <v>139</v>
      </c>
      <c r="UEO8" s="111">
        <v>3.1</v>
      </c>
      <c r="UEP8" s="111">
        <v>2.2000000000000002</v>
      </c>
      <c r="UEQ8" s="111">
        <v>2.1</v>
      </c>
      <c r="UER8" s="111">
        <v>1.5</v>
      </c>
      <c r="UES8" s="111">
        <v>2</v>
      </c>
      <c r="UET8" s="111">
        <v>3.3</v>
      </c>
      <c r="UEX8" s="93">
        <v>2.2000000000000002</v>
      </c>
      <c r="UEY8" s="93">
        <v>2.8</v>
      </c>
      <c r="UFT8" s="110" t="s">
        <v>139</v>
      </c>
      <c r="UFU8" s="111">
        <v>3.1</v>
      </c>
      <c r="UFV8" s="111">
        <v>2.2000000000000002</v>
      </c>
      <c r="UFW8" s="111">
        <v>2.1</v>
      </c>
      <c r="UFX8" s="111">
        <v>1.5</v>
      </c>
      <c r="UFY8" s="111">
        <v>2</v>
      </c>
      <c r="UFZ8" s="111">
        <v>3.3</v>
      </c>
      <c r="UGD8" s="93">
        <v>2.2000000000000002</v>
      </c>
      <c r="UGE8" s="93">
        <v>2.8</v>
      </c>
      <c r="UGZ8" s="110" t="s">
        <v>139</v>
      </c>
      <c r="UHA8" s="111">
        <v>3.1</v>
      </c>
      <c r="UHB8" s="111">
        <v>2.2000000000000002</v>
      </c>
      <c r="UHC8" s="111">
        <v>2.1</v>
      </c>
      <c r="UHD8" s="111">
        <v>1.5</v>
      </c>
      <c r="UHE8" s="111">
        <v>2</v>
      </c>
      <c r="UHF8" s="111">
        <v>3.3</v>
      </c>
      <c r="UHJ8" s="93">
        <v>2.2000000000000002</v>
      </c>
      <c r="UHK8" s="93">
        <v>2.8</v>
      </c>
      <c r="UIF8" s="110" t="s">
        <v>139</v>
      </c>
      <c r="UIG8" s="111">
        <v>3.1</v>
      </c>
      <c r="UIH8" s="111">
        <v>2.2000000000000002</v>
      </c>
      <c r="UII8" s="111">
        <v>2.1</v>
      </c>
      <c r="UIJ8" s="111">
        <v>1.5</v>
      </c>
      <c r="UIK8" s="111">
        <v>2</v>
      </c>
      <c r="UIL8" s="111">
        <v>3.3</v>
      </c>
      <c r="UIP8" s="93">
        <v>2.2000000000000002</v>
      </c>
      <c r="UIQ8" s="93">
        <v>2.8</v>
      </c>
      <c r="UJL8" s="110" t="s">
        <v>139</v>
      </c>
      <c r="UJM8" s="111">
        <v>3.1</v>
      </c>
      <c r="UJN8" s="111">
        <v>2.2000000000000002</v>
      </c>
      <c r="UJO8" s="111">
        <v>2.1</v>
      </c>
      <c r="UJP8" s="111">
        <v>1.5</v>
      </c>
      <c r="UJQ8" s="111">
        <v>2</v>
      </c>
      <c r="UJR8" s="111">
        <v>3.3</v>
      </c>
      <c r="UJV8" s="93">
        <v>2.2000000000000002</v>
      </c>
      <c r="UJW8" s="93">
        <v>2.8</v>
      </c>
      <c r="UKR8" s="110" t="s">
        <v>139</v>
      </c>
      <c r="UKS8" s="111">
        <v>3.1</v>
      </c>
      <c r="UKT8" s="111">
        <v>2.2000000000000002</v>
      </c>
      <c r="UKU8" s="111">
        <v>2.1</v>
      </c>
      <c r="UKV8" s="111">
        <v>1.5</v>
      </c>
      <c r="UKW8" s="111">
        <v>2</v>
      </c>
      <c r="UKX8" s="111">
        <v>3.3</v>
      </c>
      <c r="ULB8" s="93">
        <v>2.2000000000000002</v>
      </c>
      <c r="ULC8" s="93">
        <v>2.8</v>
      </c>
      <c r="ULX8" s="110" t="s">
        <v>139</v>
      </c>
      <c r="ULY8" s="111">
        <v>3.1</v>
      </c>
      <c r="ULZ8" s="111">
        <v>2.2000000000000002</v>
      </c>
      <c r="UMA8" s="111">
        <v>2.1</v>
      </c>
      <c r="UMB8" s="111">
        <v>1.5</v>
      </c>
      <c r="UMC8" s="111">
        <v>2</v>
      </c>
      <c r="UMD8" s="111">
        <v>3.3</v>
      </c>
      <c r="UMH8" s="93">
        <v>2.2000000000000002</v>
      </c>
      <c r="UMI8" s="93">
        <v>2.8</v>
      </c>
      <c r="UND8" s="110" t="s">
        <v>139</v>
      </c>
      <c r="UNE8" s="111">
        <v>3.1</v>
      </c>
      <c r="UNF8" s="111">
        <v>2.2000000000000002</v>
      </c>
      <c r="UNG8" s="111">
        <v>2.1</v>
      </c>
      <c r="UNH8" s="111">
        <v>1.5</v>
      </c>
      <c r="UNI8" s="111">
        <v>2</v>
      </c>
      <c r="UNJ8" s="111">
        <v>3.3</v>
      </c>
      <c r="UNN8" s="93">
        <v>2.2000000000000002</v>
      </c>
      <c r="UNO8" s="93">
        <v>2.8</v>
      </c>
      <c r="UOJ8" s="110" t="s">
        <v>139</v>
      </c>
      <c r="UOK8" s="111">
        <v>3.1</v>
      </c>
      <c r="UOL8" s="111">
        <v>2.2000000000000002</v>
      </c>
      <c r="UOM8" s="111">
        <v>2.1</v>
      </c>
      <c r="UON8" s="111">
        <v>1.5</v>
      </c>
      <c r="UOO8" s="111">
        <v>2</v>
      </c>
      <c r="UOP8" s="111">
        <v>3.3</v>
      </c>
      <c r="UOT8" s="93">
        <v>2.2000000000000002</v>
      </c>
      <c r="UOU8" s="93">
        <v>2.8</v>
      </c>
      <c r="UPP8" s="110" t="s">
        <v>139</v>
      </c>
      <c r="UPQ8" s="111">
        <v>3.1</v>
      </c>
      <c r="UPR8" s="111">
        <v>2.2000000000000002</v>
      </c>
      <c r="UPS8" s="111">
        <v>2.1</v>
      </c>
      <c r="UPT8" s="111">
        <v>1.5</v>
      </c>
      <c r="UPU8" s="111">
        <v>2</v>
      </c>
      <c r="UPV8" s="111">
        <v>3.3</v>
      </c>
      <c r="UPZ8" s="93">
        <v>2.2000000000000002</v>
      </c>
      <c r="UQA8" s="93">
        <v>2.8</v>
      </c>
      <c r="UQV8" s="110" t="s">
        <v>139</v>
      </c>
      <c r="UQW8" s="111">
        <v>3.1</v>
      </c>
      <c r="UQX8" s="111">
        <v>2.2000000000000002</v>
      </c>
      <c r="UQY8" s="111">
        <v>2.1</v>
      </c>
      <c r="UQZ8" s="111">
        <v>1.5</v>
      </c>
      <c r="URA8" s="111">
        <v>2</v>
      </c>
      <c r="URB8" s="111">
        <v>3.3</v>
      </c>
      <c r="URF8" s="93">
        <v>2.2000000000000002</v>
      </c>
      <c r="URG8" s="93">
        <v>2.8</v>
      </c>
      <c r="USB8" s="110" t="s">
        <v>139</v>
      </c>
      <c r="USC8" s="111">
        <v>3.1</v>
      </c>
      <c r="USD8" s="111">
        <v>2.2000000000000002</v>
      </c>
      <c r="USE8" s="111">
        <v>2.1</v>
      </c>
      <c r="USF8" s="111">
        <v>1.5</v>
      </c>
      <c r="USG8" s="111">
        <v>2</v>
      </c>
      <c r="USH8" s="111">
        <v>3.3</v>
      </c>
      <c r="USL8" s="93">
        <v>2.2000000000000002</v>
      </c>
      <c r="USM8" s="93">
        <v>2.8</v>
      </c>
      <c r="UTH8" s="110" t="s">
        <v>139</v>
      </c>
      <c r="UTI8" s="111">
        <v>3.1</v>
      </c>
      <c r="UTJ8" s="111">
        <v>2.2000000000000002</v>
      </c>
      <c r="UTK8" s="111">
        <v>2.1</v>
      </c>
      <c r="UTL8" s="111">
        <v>1.5</v>
      </c>
      <c r="UTM8" s="111">
        <v>2</v>
      </c>
      <c r="UTN8" s="111">
        <v>3.3</v>
      </c>
      <c r="UTR8" s="93">
        <v>2.2000000000000002</v>
      </c>
      <c r="UTS8" s="93">
        <v>2.8</v>
      </c>
      <c r="UUN8" s="110" t="s">
        <v>139</v>
      </c>
      <c r="UUO8" s="111">
        <v>3.1</v>
      </c>
      <c r="UUP8" s="111">
        <v>2.2000000000000002</v>
      </c>
      <c r="UUQ8" s="111">
        <v>2.1</v>
      </c>
      <c r="UUR8" s="111">
        <v>1.5</v>
      </c>
      <c r="UUS8" s="111">
        <v>2</v>
      </c>
      <c r="UUT8" s="111">
        <v>3.3</v>
      </c>
      <c r="UUX8" s="93">
        <v>2.2000000000000002</v>
      </c>
      <c r="UUY8" s="93">
        <v>2.8</v>
      </c>
      <c r="UVT8" s="110" t="s">
        <v>139</v>
      </c>
      <c r="UVU8" s="111">
        <v>3.1</v>
      </c>
      <c r="UVV8" s="111">
        <v>2.2000000000000002</v>
      </c>
      <c r="UVW8" s="111">
        <v>2.1</v>
      </c>
      <c r="UVX8" s="111">
        <v>1.5</v>
      </c>
      <c r="UVY8" s="111">
        <v>2</v>
      </c>
      <c r="UVZ8" s="111">
        <v>3.3</v>
      </c>
      <c r="UWD8" s="93">
        <v>2.2000000000000002</v>
      </c>
      <c r="UWE8" s="93">
        <v>2.8</v>
      </c>
      <c r="UWZ8" s="110" t="s">
        <v>139</v>
      </c>
      <c r="UXA8" s="111">
        <v>3.1</v>
      </c>
      <c r="UXB8" s="111">
        <v>2.2000000000000002</v>
      </c>
      <c r="UXC8" s="111">
        <v>2.1</v>
      </c>
      <c r="UXD8" s="111">
        <v>1.5</v>
      </c>
      <c r="UXE8" s="111">
        <v>2</v>
      </c>
      <c r="UXF8" s="111">
        <v>3.3</v>
      </c>
      <c r="UXJ8" s="93">
        <v>2.2000000000000002</v>
      </c>
      <c r="UXK8" s="93">
        <v>2.8</v>
      </c>
      <c r="UYF8" s="110" t="s">
        <v>139</v>
      </c>
      <c r="UYG8" s="111">
        <v>3.1</v>
      </c>
      <c r="UYH8" s="111">
        <v>2.2000000000000002</v>
      </c>
      <c r="UYI8" s="111">
        <v>2.1</v>
      </c>
      <c r="UYJ8" s="111">
        <v>1.5</v>
      </c>
      <c r="UYK8" s="111">
        <v>2</v>
      </c>
      <c r="UYL8" s="111">
        <v>3.3</v>
      </c>
      <c r="UYP8" s="93">
        <v>2.2000000000000002</v>
      </c>
      <c r="UYQ8" s="93">
        <v>2.8</v>
      </c>
      <c r="UZL8" s="110" t="s">
        <v>139</v>
      </c>
      <c r="UZM8" s="111">
        <v>3.1</v>
      </c>
      <c r="UZN8" s="111">
        <v>2.2000000000000002</v>
      </c>
      <c r="UZO8" s="111">
        <v>2.1</v>
      </c>
      <c r="UZP8" s="111">
        <v>1.5</v>
      </c>
      <c r="UZQ8" s="111">
        <v>2</v>
      </c>
      <c r="UZR8" s="111">
        <v>3.3</v>
      </c>
      <c r="UZV8" s="93">
        <v>2.2000000000000002</v>
      </c>
      <c r="UZW8" s="93">
        <v>2.8</v>
      </c>
      <c r="VAR8" s="110" t="s">
        <v>139</v>
      </c>
      <c r="VAS8" s="111">
        <v>3.1</v>
      </c>
      <c r="VAT8" s="111">
        <v>2.2000000000000002</v>
      </c>
      <c r="VAU8" s="111">
        <v>2.1</v>
      </c>
      <c r="VAV8" s="111">
        <v>1.5</v>
      </c>
      <c r="VAW8" s="111">
        <v>2</v>
      </c>
      <c r="VAX8" s="111">
        <v>3.3</v>
      </c>
      <c r="VBB8" s="93">
        <v>2.2000000000000002</v>
      </c>
      <c r="VBC8" s="93">
        <v>2.8</v>
      </c>
      <c r="VBX8" s="110" t="s">
        <v>139</v>
      </c>
      <c r="VBY8" s="111">
        <v>3.1</v>
      </c>
      <c r="VBZ8" s="111">
        <v>2.2000000000000002</v>
      </c>
      <c r="VCA8" s="111">
        <v>2.1</v>
      </c>
      <c r="VCB8" s="111">
        <v>1.5</v>
      </c>
      <c r="VCC8" s="111">
        <v>2</v>
      </c>
      <c r="VCD8" s="111">
        <v>3.3</v>
      </c>
      <c r="VCH8" s="93">
        <v>2.2000000000000002</v>
      </c>
      <c r="VCI8" s="93">
        <v>2.8</v>
      </c>
      <c r="VDD8" s="110" t="s">
        <v>139</v>
      </c>
      <c r="VDE8" s="111">
        <v>3.1</v>
      </c>
      <c r="VDF8" s="111">
        <v>2.2000000000000002</v>
      </c>
      <c r="VDG8" s="111">
        <v>2.1</v>
      </c>
      <c r="VDH8" s="111">
        <v>1.5</v>
      </c>
      <c r="VDI8" s="111">
        <v>2</v>
      </c>
      <c r="VDJ8" s="111">
        <v>3.3</v>
      </c>
      <c r="VDN8" s="93">
        <v>2.2000000000000002</v>
      </c>
      <c r="VDO8" s="93">
        <v>2.8</v>
      </c>
      <c r="VEJ8" s="110" t="s">
        <v>139</v>
      </c>
      <c r="VEK8" s="111">
        <v>3.1</v>
      </c>
      <c r="VEL8" s="111">
        <v>2.2000000000000002</v>
      </c>
      <c r="VEM8" s="111">
        <v>2.1</v>
      </c>
      <c r="VEN8" s="111">
        <v>1.5</v>
      </c>
      <c r="VEO8" s="111">
        <v>2</v>
      </c>
      <c r="VEP8" s="111">
        <v>3.3</v>
      </c>
      <c r="VET8" s="93">
        <v>2.2000000000000002</v>
      </c>
      <c r="VEU8" s="93">
        <v>2.8</v>
      </c>
      <c r="VFP8" s="110" t="s">
        <v>139</v>
      </c>
      <c r="VFQ8" s="111">
        <v>3.1</v>
      </c>
      <c r="VFR8" s="111">
        <v>2.2000000000000002</v>
      </c>
      <c r="VFS8" s="111">
        <v>2.1</v>
      </c>
      <c r="VFT8" s="111">
        <v>1.5</v>
      </c>
      <c r="VFU8" s="111">
        <v>2</v>
      </c>
      <c r="VFV8" s="111">
        <v>3.3</v>
      </c>
      <c r="VFZ8" s="93">
        <v>2.2000000000000002</v>
      </c>
      <c r="VGA8" s="93">
        <v>2.8</v>
      </c>
      <c r="VGV8" s="110" t="s">
        <v>139</v>
      </c>
      <c r="VGW8" s="111">
        <v>3.1</v>
      </c>
      <c r="VGX8" s="111">
        <v>2.2000000000000002</v>
      </c>
      <c r="VGY8" s="111">
        <v>2.1</v>
      </c>
      <c r="VGZ8" s="111">
        <v>1.5</v>
      </c>
      <c r="VHA8" s="111">
        <v>2</v>
      </c>
      <c r="VHB8" s="111">
        <v>3.3</v>
      </c>
      <c r="VHF8" s="93">
        <v>2.2000000000000002</v>
      </c>
      <c r="VHG8" s="93">
        <v>2.8</v>
      </c>
      <c r="VIB8" s="110" t="s">
        <v>139</v>
      </c>
      <c r="VIC8" s="111">
        <v>3.1</v>
      </c>
      <c r="VID8" s="111">
        <v>2.2000000000000002</v>
      </c>
      <c r="VIE8" s="111">
        <v>2.1</v>
      </c>
      <c r="VIF8" s="111">
        <v>1.5</v>
      </c>
      <c r="VIG8" s="111">
        <v>2</v>
      </c>
      <c r="VIH8" s="111">
        <v>3.3</v>
      </c>
      <c r="VIL8" s="93">
        <v>2.2000000000000002</v>
      </c>
      <c r="VIM8" s="93">
        <v>2.8</v>
      </c>
      <c r="VJH8" s="110" t="s">
        <v>139</v>
      </c>
      <c r="VJI8" s="111">
        <v>3.1</v>
      </c>
      <c r="VJJ8" s="111">
        <v>2.2000000000000002</v>
      </c>
      <c r="VJK8" s="111">
        <v>2.1</v>
      </c>
      <c r="VJL8" s="111">
        <v>1.5</v>
      </c>
      <c r="VJM8" s="111">
        <v>2</v>
      </c>
      <c r="VJN8" s="111">
        <v>3.3</v>
      </c>
      <c r="VJR8" s="93">
        <v>2.2000000000000002</v>
      </c>
      <c r="VJS8" s="93">
        <v>2.8</v>
      </c>
      <c r="VKN8" s="110" t="s">
        <v>139</v>
      </c>
      <c r="VKO8" s="111">
        <v>3.1</v>
      </c>
      <c r="VKP8" s="111">
        <v>2.2000000000000002</v>
      </c>
      <c r="VKQ8" s="111">
        <v>2.1</v>
      </c>
      <c r="VKR8" s="111">
        <v>1.5</v>
      </c>
      <c r="VKS8" s="111">
        <v>2</v>
      </c>
      <c r="VKT8" s="111">
        <v>3.3</v>
      </c>
      <c r="VKX8" s="93">
        <v>2.2000000000000002</v>
      </c>
      <c r="VKY8" s="93">
        <v>2.8</v>
      </c>
      <c r="VLT8" s="110" t="s">
        <v>139</v>
      </c>
      <c r="VLU8" s="111">
        <v>3.1</v>
      </c>
      <c r="VLV8" s="111">
        <v>2.2000000000000002</v>
      </c>
      <c r="VLW8" s="111">
        <v>2.1</v>
      </c>
      <c r="VLX8" s="111">
        <v>1.5</v>
      </c>
      <c r="VLY8" s="111">
        <v>2</v>
      </c>
      <c r="VLZ8" s="111">
        <v>3.3</v>
      </c>
      <c r="VMD8" s="93">
        <v>2.2000000000000002</v>
      </c>
      <c r="VME8" s="93">
        <v>2.8</v>
      </c>
      <c r="VMZ8" s="110" t="s">
        <v>139</v>
      </c>
      <c r="VNA8" s="111">
        <v>3.1</v>
      </c>
      <c r="VNB8" s="111">
        <v>2.2000000000000002</v>
      </c>
      <c r="VNC8" s="111">
        <v>2.1</v>
      </c>
      <c r="VND8" s="111">
        <v>1.5</v>
      </c>
      <c r="VNE8" s="111">
        <v>2</v>
      </c>
      <c r="VNF8" s="111">
        <v>3.3</v>
      </c>
      <c r="VNJ8" s="93">
        <v>2.2000000000000002</v>
      </c>
      <c r="VNK8" s="93">
        <v>2.8</v>
      </c>
      <c r="VOF8" s="110" t="s">
        <v>139</v>
      </c>
      <c r="VOG8" s="111">
        <v>3.1</v>
      </c>
      <c r="VOH8" s="111">
        <v>2.2000000000000002</v>
      </c>
      <c r="VOI8" s="111">
        <v>2.1</v>
      </c>
      <c r="VOJ8" s="111">
        <v>1.5</v>
      </c>
      <c r="VOK8" s="111">
        <v>2</v>
      </c>
      <c r="VOL8" s="111">
        <v>3.3</v>
      </c>
      <c r="VOP8" s="93">
        <v>2.2000000000000002</v>
      </c>
      <c r="VOQ8" s="93">
        <v>2.8</v>
      </c>
      <c r="VPL8" s="110" t="s">
        <v>139</v>
      </c>
      <c r="VPM8" s="111">
        <v>3.1</v>
      </c>
      <c r="VPN8" s="111">
        <v>2.2000000000000002</v>
      </c>
      <c r="VPO8" s="111">
        <v>2.1</v>
      </c>
      <c r="VPP8" s="111">
        <v>1.5</v>
      </c>
      <c r="VPQ8" s="111">
        <v>2</v>
      </c>
      <c r="VPR8" s="111">
        <v>3.3</v>
      </c>
      <c r="VPV8" s="93">
        <v>2.2000000000000002</v>
      </c>
      <c r="VPW8" s="93">
        <v>2.8</v>
      </c>
      <c r="VQR8" s="110" t="s">
        <v>139</v>
      </c>
      <c r="VQS8" s="111">
        <v>3.1</v>
      </c>
      <c r="VQT8" s="111">
        <v>2.2000000000000002</v>
      </c>
      <c r="VQU8" s="111">
        <v>2.1</v>
      </c>
      <c r="VQV8" s="111">
        <v>1.5</v>
      </c>
      <c r="VQW8" s="111">
        <v>2</v>
      </c>
      <c r="VQX8" s="111">
        <v>3.3</v>
      </c>
      <c r="VRB8" s="93">
        <v>2.2000000000000002</v>
      </c>
      <c r="VRC8" s="93">
        <v>2.8</v>
      </c>
      <c r="VRX8" s="110" t="s">
        <v>139</v>
      </c>
      <c r="VRY8" s="111">
        <v>3.1</v>
      </c>
      <c r="VRZ8" s="111">
        <v>2.2000000000000002</v>
      </c>
      <c r="VSA8" s="111">
        <v>2.1</v>
      </c>
      <c r="VSB8" s="111">
        <v>1.5</v>
      </c>
      <c r="VSC8" s="111">
        <v>2</v>
      </c>
      <c r="VSD8" s="111">
        <v>3.3</v>
      </c>
      <c r="VSH8" s="93">
        <v>2.2000000000000002</v>
      </c>
      <c r="VSI8" s="93">
        <v>2.8</v>
      </c>
      <c r="VTD8" s="110" t="s">
        <v>139</v>
      </c>
      <c r="VTE8" s="111">
        <v>3.1</v>
      </c>
      <c r="VTF8" s="111">
        <v>2.2000000000000002</v>
      </c>
      <c r="VTG8" s="111">
        <v>2.1</v>
      </c>
      <c r="VTH8" s="111">
        <v>1.5</v>
      </c>
      <c r="VTI8" s="111">
        <v>2</v>
      </c>
      <c r="VTJ8" s="111">
        <v>3.3</v>
      </c>
      <c r="VTN8" s="93">
        <v>2.2000000000000002</v>
      </c>
      <c r="VTO8" s="93">
        <v>2.8</v>
      </c>
      <c r="VUJ8" s="110" t="s">
        <v>139</v>
      </c>
      <c r="VUK8" s="111">
        <v>3.1</v>
      </c>
      <c r="VUL8" s="111">
        <v>2.2000000000000002</v>
      </c>
      <c r="VUM8" s="111">
        <v>2.1</v>
      </c>
      <c r="VUN8" s="111">
        <v>1.5</v>
      </c>
      <c r="VUO8" s="111">
        <v>2</v>
      </c>
      <c r="VUP8" s="111">
        <v>3.3</v>
      </c>
      <c r="VUT8" s="93">
        <v>2.2000000000000002</v>
      </c>
      <c r="VUU8" s="93">
        <v>2.8</v>
      </c>
      <c r="VVP8" s="110" t="s">
        <v>139</v>
      </c>
      <c r="VVQ8" s="111">
        <v>3.1</v>
      </c>
      <c r="VVR8" s="111">
        <v>2.2000000000000002</v>
      </c>
      <c r="VVS8" s="111">
        <v>2.1</v>
      </c>
      <c r="VVT8" s="111">
        <v>1.5</v>
      </c>
      <c r="VVU8" s="111">
        <v>2</v>
      </c>
      <c r="VVV8" s="111">
        <v>3.3</v>
      </c>
      <c r="VVZ8" s="93">
        <v>2.2000000000000002</v>
      </c>
      <c r="VWA8" s="93">
        <v>2.8</v>
      </c>
      <c r="VWV8" s="110" t="s">
        <v>139</v>
      </c>
      <c r="VWW8" s="111">
        <v>3.1</v>
      </c>
      <c r="VWX8" s="111">
        <v>2.2000000000000002</v>
      </c>
      <c r="VWY8" s="111">
        <v>2.1</v>
      </c>
      <c r="VWZ8" s="111">
        <v>1.5</v>
      </c>
      <c r="VXA8" s="111">
        <v>2</v>
      </c>
      <c r="VXB8" s="111">
        <v>3.3</v>
      </c>
      <c r="VXF8" s="93">
        <v>2.2000000000000002</v>
      </c>
      <c r="VXG8" s="93">
        <v>2.8</v>
      </c>
      <c r="VYB8" s="110" t="s">
        <v>139</v>
      </c>
      <c r="VYC8" s="111">
        <v>3.1</v>
      </c>
      <c r="VYD8" s="111">
        <v>2.2000000000000002</v>
      </c>
      <c r="VYE8" s="111">
        <v>2.1</v>
      </c>
      <c r="VYF8" s="111">
        <v>1.5</v>
      </c>
      <c r="VYG8" s="111">
        <v>2</v>
      </c>
      <c r="VYH8" s="111">
        <v>3.3</v>
      </c>
      <c r="VYL8" s="93">
        <v>2.2000000000000002</v>
      </c>
      <c r="VYM8" s="93">
        <v>2.8</v>
      </c>
      <c r="VZH8" s="110" t="s">
        <v>139</v>
      </c>
      <c r="VZI8" s="111">
        <v>3.1</v>
      </c>
      <c r="VZJ8" s="111">
        <v>2.2000000000000002</v>
      </c>
      <c r="VZK8" s="111">
        <v>2.1</v>
      </c>
      <c r="VZL8" s="111">
        <v>1.5</v>
      </c>
      <c r="VZM8" s="111">
        <v>2</v>
      </c>
      <c r="VZN8" s="111">
        <v>3.3</v>
      </c>
      <c r="VZR8" s="93">
        <v>2.2000000000000002</v>
      </c>
      <c r="VZS8" s="93">
        <v>2.8</v>
      </c>
      <c r="WAN8" s="110" t="s">
        <v>139</v>
      </c>
      <c r="WAO8" s="111">
        <v>3.1</v>
      </c>
      <c r="WAP8" s="111">
        <v>2.2000000000000002</v>
      </c>
      <c r="WAQ8" s="111">
        <v>2.1</v>
      </c>
      <c r="WAR8" s="111">
        <v>1.5</v>
      </c>
      <c r="WAS8" s="111">
        <v>2</v>
      </c>
      <c r="WAT8" s="111">
        <v>3.3</v>
      </c>
      <c r="WAX8" s="93">
        <v>2.2000000000000002</v>
      </c>
      <c r="WAY8" s="93">
        <v>2.8</v>
      </c>
      <c r="WBT8" s="110" t="s">
        <v>139</v>
      </c>
      <c r="WBU8" s="111">
        <v>3.1</v>
      </c>
      <c r="WBV8" s="111">
        <v>2.2000000000000002</v>
      </c>
      <c r="WBW8" s="111">
        <v>2.1</v>
      </c>
      <c r="WBX8" s="111">
        <v>1.5</v>
      </c>
      <c r="WBY8" s="111">
        <v>2</v>
      </c>
      <c r="WBZ8" s="111">
        <v>3.3</v>
      </c>
      <c r="WCD8" s="93">
        <v>2.2000000000000002</v>
      </c>
      <c r="WCE8" s="93">
        <v>2.8</v>
      </c>
      <c r="WCZ8" s="110" t="s">
        <v>139</v>
      </c>
      <c r="WDA8" s="111">
        <v>3.1</v>
      </c>
      <c r="WDB8" s="111">
        <v>2.2000000000000002</v>
      </c>
      <c r="WDC8" s="111">
        <v>2.1</v>
      </c>
      <c r="WDD8" s="111">
        <v>1.5</v>
      </c>
      <c r="WDE8" s="111">
        <v>2</v>
      </c>
      <c r="WDF8" s="111">
        <v>3.3</v>
      </c>
      <c r="WDJ8" s="93">
        <v>2.2000000000000002</v>
      </c>
      <c r="WDK8" s="93">
        <v>2.8</v>
      </c>
      <c r="WEF8" s="110" t="s">
        <v>139</v>
      </c>
      <c r="WEG8" s="111">
        <v>3.1</v>
      </c>
      <c r="WEH8" s="111">
        <v>2.2000000000000002</v>
      </c>
      <c r="WEI8" s="111">
        <v>2.1</v>
      </c>
      <c r="WEJ8" s="111">
        <v>1.5</v>
      </c>
      <c r="WEK8" s="111">
        <v>2</v>
      </c>
      <c r="WEL8" s="111">
        <v>3.3</v>
      </c>
      <c r="WEP8" s="93">
        <v>2.2000000000000002</v>
      </c>
      <c r="WEQ8" s="93">
        <v>2.8</v>
      </c>
      <c r="WFL8" s="110" t="s">
        <v>139</v>
      </c>
      <c r="WFM8" s="111">
        <v>3.1</v>
      </c>
      <c r="WFN8" s="111">
        <v>2.2000000000000002</v>
      </c>
      <c r="WFO8" s="111">
        <v>2.1</v>
      </c>
      <c r="WFP8" s="111">
        <v>1.5</v>
      </c>
      <c r="WFQ8" s="111">
        <v>2</v>
      </c>
      <c r="WFR8" s="111">
        <v>3.3</v>
      </c>
      <c r="WFV8" s="93">
        <v>2.2000000000000002</v>
      </c>
      <c r="WFW8" s="93">
        <v>2.8</v>
      </c>
      <c r="WGR8" s="110" t="s">
        <v>139</v>
      </c>
      <c r="WGS8" s="111">
        <v>3.1</v>
      </c>
      <c r="WGT8" s="111">
        <v>2.2000000000000002</v>
      </c>
      <c r="WGU8" s="111">
        <v>2.1</v>
      </c>
      <c r="WGV8" s="111">
        <v>1.5</v>
      </c>
      <c r="WGW8" s="111">
        <v>2</v>
      </c>
      <c r="WGX8" s="111">
        <v>3.3</v>
      </c>
      <c r="WHB8" s="93">
        <v>2.2000000000000002</v>
      </c>
      <c r="WHC8" s="93">
        <v>2.8</v>
      </c>
      <c r="WHX8" s="110" t="s">
        <v>139</v>
      </c>
      <c r="WHY8" s="111">
        <v>3.1</v>
      </c>
      <c r="WHZ8" s="111">
        <v>2.2000000000000002</v>
      </c>
      <c r="WIA8" s="111">
        <v>2.1</v>
      </c>
      <c r="WIB8" s="111">
        <v>1.5</v>
      </c>
      <c r="WIC8" s="111">
        <v>2</v>
      </c>
      <c r="WID8" s="111">
        <v>3.3</v>
      </c>
      <c r="WIH8" s="93">
        <v>2.2000000000000002</v>
      </c>
      <c r="WII8" s="93">
        <v>2.8</v>
      </c>
      <c r="WJD8" s="110" t="s">
        <v>139</v>
      </c>
      <c r="WJE8" s="111">
        <v>3.1</v>
      </c>
      <c r="WJF8" s="111">
        <v>2.2000000000000002</v>
      </c>
      <c r="WJG8" s="111">
        <v>2.1</v>
      </c>
      <c r="WJH8" s="111">
        <v>1.5</v>
      </c>
      <c r="WJI8" s="111">
        <v>2</v>
      </c>
      <c r="WJJ8" s="111">
        <v>3.3</v>
      </c>
      <c r="WJN8" s="93">
        <v>2.2000000000000002</v>
      </c>
      <c r="WJO8" s="93">
        <v>2.8</v>
      </c>
      <c r="WKJ8" s="110" t="s">
        <v>139</v>
      </c>
      <c r="WKK8" s="111">
        <v>3.1</v>
      </c>
      <c r="WKL8" s="111">
        <v>2.2000000000000002</v>
      </c>
      <c r="WKM8" s="111">
        <v>2.1</v>
      </c>
      <c r="WKN8" s="111">
        <v>1.5</v>
      </c>
      <c r="WKO8" s="111">
        <v>2</v>
      </c>
      <c r="WKP8" s="111">
        <v>3.3</v>
      </c>
      <c r="WKT8" s="93">
        <v>2.2000000000000002</v>
      </c>
      <c r="WKU8" s="93">
        <v>2.8</v>
      </c>
      <c r="WLP8" s="110" t="s">
        <v>139</v>
      </c>
      <c r="WLQ8" s="111">
        <v>3.1</v>
      </c>
      <c r="WLR8" s="111">
        <v>2.2000000000000002</v>
      </c>
      <c r="WLS8" s="111">
        <v>2.1</v>
      </c>
      <c r="WLT8" s="111">
        <v>1.5</v>
      </c>
      <c r="WLU8" s="111">
        <v>2</v>
      </c>
      <c r="WLV8" s="111">
        <v>3.3</v>
      </c>
      <c r="WLZ8" s="93">
        <v>2.2000000000000002</v>
      </c>
      <c r="WMA8" s="93">
        <v>2.8</v>
      </c>
      <c r="WMV8" s="110" t="s">
        <v>139</v>
      </c>
      <c r="WMW8" s="111">
        <v>3.1</v>
      </c>
      <c r="WMX8" s="111">
        <v>2.2000000000000002</v>
      </c>
      <c r="WMY8" s="111">
        <v>2.1</v>
      </c>
      <c r="WMZ8" s="111">
        <v>1.5</v>
      </c>
      <c r="WNA8" s="111">
        <v>2</v>
      </c>
      <c r="WNB8" s="111">
        <v>3.3</v>
      </c>
      <c r="WNF8" s="93">
        <v>2.2000000000000002</v>
      </c>
      <c r="WNG8" s="93">
        <v>2.8</v>
      </c>
      <c r="WOB8" s="110" t="s">
        <v>139</v>
      </c>
      <c r="WOC8" s="111">
        <v>3.1</v>
      </c>
      <c r="WOD8" s="111">
        <v>2.2000000000000002</v>
      </c>
      <c r="WOE8" s="111">
        <v>2.1</v>
      </c>
      <c r="WOF8" s="111">
        <v>1.5</v>
      </c>
      <c r="WOG8" s="111">
        <v>2</v>
      </c>
      <c r="WOH8" s="111">
        <v>3.3</v>
      </c>
      <c r="WOL8" s="93">
        <v>2.2000000000000002</v>
      </c>
      <c r="WOM8" s="93">
        <v>2.8</v>
      </c>
      <c r="WPH8" s="110" t="s">
        <v>139</v>
      </c>
      <c r="WPI8" s="111">
        <v>3.1</v>
      </c>
      <c r="WPJ8" s="111">
        <v>2.2000000000000002</v>
      </c>
      <c r="WPK8" s="111">
        <v>2.1</v>
      </c>
      <c r="WPL8" s="111">
        <v>1.5</v>
      </c>
      <c r="WPM8" s="111">
        <v>2</v>
      </c>
      <c r="WPN8" s="111">
        <v>3.3</v>
      </c>
      <c r="WPR8" s="93">
        <v>2.2000000000000002</v>
      </c>
      <c r="WPS8" s="93">
        <v>2.8</v>
      </c>
      <c r="WQN8" s="110" t="s">
        <v>139</v>
      </c>
      <c r="WQO8" s="111">
        <v>3.1</v>
      </c>
      <c r="WQP8" s="111">
        <v>2.2000000000000002</v>
      </c>
      <c r="WQQ8" s="111">
        <v>2.1</v>
      </c>
      <c r="WQR8" s="111">
        <v>1.5</v>
      </c>
      <c r="WQS8" s="111">
        <v>2</v>
      </c>
      <c r="WQT8" s="111">
        <v>3.3</v>
      </c>
      <c r="WQX8" s="93">
        <v>2.2000000000000002</v>
      </c>
      <c r="WQY8" s="93">
        <v>2.8</v>
      </c>
      <c r="WRT8" s="110" t="s">
        <v>139</v>
      </c>
      <c r="WRU8" s="111">
        <v>3.1</v>
      </c>
      <c r="WRV8" s="111">
        <v>2.2000000000000002</v>
      </c>
      <c r="WRW8" s="111">
        <v>2.1</v>
      </c>
      <c r="WRX8" s="111">
        <v>1.5</v>
      </c>
      <c r="WRY8" s="111">
        <v>2</v>
      </c>
      <c r="WRZ8" s="111">
        <v>3.3</v>
      </c>
      <c r="WSD8" s="93">
        <v>2.2000000000000002</v>
      </c>
      <c r="WSE8" s="93">
        <v>2.8</v>
      </c>
      <c r="WSZ8" s="110" t="s">
        <v>139</v>
      </c>
      <c r="WTA8" s="111">
        <v>3.1</v>
      </c>
      <c r="WTB8" s="111">
        <v>2.2000000000000002</v>
      </c>
      <c r="WTC8" s="111">
        <v>2.1</v>
      </c>
      <c r="WTD8" s="111">
        <v>1.5</v>
      </c>
      <c r="WTE8" s="111">
        <v>2</v>
      </c>
      <c r="WTF8" s="111">
        <v>3.3</v>
      </c>
      <c r="WTJ8" s="93">
        <v>2.2000000000000002</v>
      </c>
      <c r="WTK8" s="93">
        <v>2.8</v>
      </c>
      <c r="WUF8" s="110" t="s">
        <v>139</v>
      </c>
      <c r="WUG8" s="111">
        <v>3.1</v>
      </c>
      <c r="WUH8" s="111">
        <v>2.2000000000000002</v>
      </c>
      <c r="WUI8" s="111">
        <v>2.1</v>
      </c>
      <c r="WUJ8" s="111">
        <v>1.5</v>
      </c>
      <c r="WUK8" s="111">
        <v>2</v>
      </c>
      <c r="WUL8" s="111">
        <v>3.3</v>
      </c>
      <c r="WUP8" s="93">
        <v>2.2000000000000002</v>
      </c>
      <c r="WUQ8" s="93">
        <v>2.8</v>
      </c>
      <c r="WVL8" s="110" t="s">
        <v>139</v>
      </c>
      <c r="WVM8" s="111">
        <v>3.1</v>
      </c>
      <c r="WVN8" s="111">
        <v>2.2000000000000002</v>
      </c>
      <c r="WVO8" s="111">
        <v>2.1</v>
      </c>
      <c r="WVP8" s="111">
        <v>1.5</v>
      </c>
      <c r="WVQ8" s="111">
        <v>2</v>
      </c>
      <c r="WVR8" s="111">
        <v>3.3</v>
      </c>
      <c r="WVV8" s="93">
        <v>2.2000000000000002</v>
      </c>
      <c r="WVW8" s="93">
        <v>2.8</v>
      </c>
      <c r="WWR8" s="110" t="s">
        <v>139</v>
      </c>
      <c r="WWS8" s="111">
        <v>3.1</v>
      </c>
      <c r="WWT8" s="111">
        <v>2.2000000000000002</v>
      </c>
      <c r="WWU8" s="111">
        <v>2.1</v>
      </c>
      <c r="WWV8" s="111">
        <v>1.5</v>
      </c>
      <c r="WWW8" s="111">
        <v>2</v>
      </c>
      <c r="WWX8" s="111">
        <v>3.3</v>
      </c>
      <c r="WXB8" s="93">
        <v>2.2000000000000002</v>
      </c>
      <c r="WXC8" s="93">
        <v>2.8</v>
      </c>
      <c r="WXX8" s="110" t="s">
        <v>139</v>
      </c>
      <c r="WXY8" s="111">
        <v>3.1</v>
      </c>
      <c r="WXZ8" s="111">
        <v>2.2000000000000002</v>
      </c>
      <c r="WYA8" s="111">
        <v>2.1</v>
      </c>
      <c r="WYB8" s="111">
        <v>1.5</v>
      </c>
      <c r="WYC8" s="111">
        <v>2</v>
      </c>
      <c r="WYD8" s="111">
        <v>3.3</v>
      </c>
      <c r="WYH8" s="93">
        <v>2.2000000000000002</v>
      </c>
      <c r="WYI8" s="93">
        <v>2.8</v>
      </c>
      <c r="WZD8" s="110" t="s">
        <v>139</v>
      </c>
      <c r="WZE8" s="111">
        <v>3.1</v>
      </c>
      <c r="WZF8" s="111">
        <v>2.2000000000000002</v>
      </c>
      <c r="WZG8" s="111">
        <v>2.1</v>
      </c>
      <c r="WZH8" s="111">
        <v>1.5</v>
      </c>
      <c r="WZI8" s="111">
        <v>2</v>
      </c>
      <c r="WZJ8" s="111">
        <v>3.3</v>
      </c>
      <c r="WZN8" s="93">
        <v>2.2000000000000002</v>
      </c>
      <c r="WZO8" s="93">
        <v>2.8</v>
      </c>
      <c r="XAJ8" s="110" t="s">
        <v>139</v>
      </c>
      <c r="XAK8" s="111">
        <v>3.1</v>
      </c>
      <c r="XAL8" s="111">
        <v>2.2000000000000002</v>
      </c>
      <c r="XAM8" s="111">
        <v>2.1</v>
      </c>
      <c r="XAN8" s="111">
        <v>1.5</v>
      </c>
      <c r="XAO8" s="111">
        <v>2</v>
      </c>
      <c r="XAP8" s="111">
        <v>3.3</v>
      </c>
      <c r="XAT8" s="93">
        <v>2.2000000000000002</v>
      </c>
      <c r="XAU8" s="93">
        <v>2.8</v>
      </c>
      <c r="XBP8" s="110" t="s">
        <v>139</v>
      </c>
      <c r="XBQ8" s="111">
        <v>3.1</v>
      </c>
      <c r="XBR8" s="111">
        <v>2.2000000000000002</v>
      </c>
      <c r="XBS8" s="111">
        <v>2.1</v>
      </c>
      <c r="XBT8" s="111">
        <v>1.5</v>
      </c>
      <c r="XBU8" s="111">
        <v>2</v>
      </c>
      <c r="XBV8" s="111">
        <v>3.3</v>
      </c>
      <c r="XBZ8" s="93">
        <v>2.2000000000000002</v>
      </c>
      <c r="XCA8" s="93">
        <v>2.8</v>
      </c>
      <c r="XCV8" s="110" t="s">
        <v>139</v>
      </c>
      <c r="XCW8" s="111">
        <v>3.1</v>
      </c>
      <c r="XCX8" s="111">
        <v>2.2000000000000002</v>
      </c>
      <c r="XCY8" s="111">
        <v>2.1</v>
      </c>
      <c r="XCZ8" s="111">
        <v>1.5</v>
      </c>
      <c r="XDA8" s="111">
        <v>2</v>
      </c>
      <c r="XDB8" s="111">
        <v>3.3</v>
      </c>
      <c r="XDF8" s="93">
        <v>2.2000000000000002</v>
      </c>
      <c r="XDG8" s="93">
        <v>2.8</v>
      </c>
      <c r="XEB8" s="110" t="s">
        <v>139</v>
      </c>
      <c r="XEC8" s="111">
        <v>3.1</v>
      </c>
      <c r="XED8" s="111">
        <v>2.2000000000000002</v>
      </c>
      <c r="XEE8" s="111">
        <v>2.1</v>
      </c>
      <c r="XEF8" s="111">
        <v>1.5</v>
      </c>
      <c r="XEG8" s="111">
        <v>2</v>
      </c>
      <c r="XEH8" s="111">
        <v>3.3</v>
      </c>
      <c r="XEL8" s="93">
        <v>2.2000000000000002</v>
      </c>
      <c r="XEM8" s="93">
        <v>2.8</v>
      </c>
    </row>
    <row r="9" spans="2:1007 1026:2031 2050:3055 3074:4079 4098:5103 5122:6127 6146:7151 7170:8175 8194:9199 9218:10223 10242:11247 11266:12271 12290:13295 13314:14319 14338:15343 15362:16367" s="94" customFormat="1">
      <c r="L9" s="112"/>
      <c r="M9" s="112"/>
      <c r="N9" s="112"/>
      <c r="O9" s="112"/>
      <c r="P9" s="112"/>
      <c r="Q9" s="112"/>
      <c r="AT9" s="93">
        <v>2.1</v>
      </c>
      <c r="AU9" s="93">
        <v>2.1</v>
      </c>
      <c r="BZ9" s="93">
        <v>2.1</v>
      </c>
      <c r="CA9" s="93">
        <v>2.1</v>
      </c>
      <c r="DF9" s="93">
        <v>2.1</v>
      </c>
      <c r="DG9" s="93">
        <v>2.1</v>
      </c>
      <c r="EL9" s="93">
        <v>2.1</v>
      </c>
      <c r="EM9" s="93">
        <v>2.1</v>
      </c>
      <c r="FR9" s="93">
        <v>2.1</v>
      </c>
      <c r="FS9" s="93">
        <v>2.1</v>
      </c>
      <c r="GX9" s="93">
        <v>2.1</v>
      </c>
      <c r="GY9" s="93">
        <v>2.1</v>
      </c>
      <c r="ID9" s="93">
        <v>2.1</v>
      </c>
      <c r="IE9" s="93">
        <v>2.1</v>
      </c>
      <c r="JJ9" s="93">
        <v>2.1</v>
      </c>
      <c r="JK9" s="93">
        <v>2.1</v>
      </c>
      <c r="KP9" s="93">
        <v>2.1</v>
      </c>
      <c r="KQ9" s="93">
        <v>2.1</v>
      </c>
      <c r="LV9" s="93">
        <v>2.1</v>
      </c>
      <c r="LW9" s="93">
        <v>2.1</v>
      </c>
      <c r="NB9" s="93">
        <v>2.1</v>
      </c>
      <c r="NC9" s="93">
        <v>2.1</v>
      </c>
      <c r="OH9" s="93">
        <v>2.1</v>
      </c>
      <c r="OI9" s="93">
        <v>2.1</v>
      </c>
      <c r="PN9" s="93">
        <v>2.1</v>
      </c>
      <c r="PO9" s="93">
        <v>2.1</v>
      </c>
      <c r="QT9" s="93">
        <v>2.1</v>
      </c>
      <c r="QU9" s="93">
        <v>2.1</v>
      </c>
      <c r="RZ9" s="93">
        <v>2.1</v>
      </c>
      <c r="SA9" s="93">
        <v>2.1</v>
      </c>
      <c r="TF9" s="93">
        <v>2.1</v>
      </c>
      <c r="TG9" s="93">
        <v>2.1</v>
      </c>
      <c r="UL9" s="93">
        <v>2.1</v>
      </c>
      <c r="UM9" s="93">
        <v>2.1</v>
      </c>
      <c r="VR9" s="93">
        <v>2.1</v>
      </c>
      <c r="VS9" s="93">
        <v>2.1</v>
      </c>
      <c r="WX9" s="93">
        <v>2.1</v>
      </c>
      <c r="WY9" s="93">
        <v>2.1</v>
      </c>
      <c r="YD9" s="93">
        <v>2.1</v>
      </c>
      <c r="YE9" s="93">
        <v>2.1</v>
      </c>
      <c r="ZJ9" s="93">
        <v>2.1</v>
      </c>
      <c r="ZK9" s="93">
        <v>2.1</v>
      </c>
      <c r="AAP9" s="93">
        <v>2.1</v>
      </c>
      <c r="AAQ9" s="93">
        <v>2.1</v>
      </c>
      <c r="ABV9" s="93">
        <v>2.1</v>
      </c>
      <c r="ABW9" s="93">
        <v>2.1</v>
      </c>
      <c r="ADB9" s="93">
        <v>2.1</v>
      </c>
      <c r="ADC9" s="93">
        <v>2.1</v>
      </c>
      <c r="AEH9" s="93">
        <v>2.1</v>
      </c>
      <c r="AEI9" s="93">
        <v>2.1</v>
      </c>
      <c r="AFN9" s="93">
        <v>2.1</v>
      </c>
      <c r="AFO9" s="93">
        <v>2.1</v>
      </c>
      <c r="AGT9" s="93">
        <v>2.1</v>
      </c>
      <c r="AGU9" s="93">
        <v>2.1</v>
      </c>
      <c r="AHZ9" s="93">
        <v>2.1</v>
      </c>
      <c r="AIA9" s="93">
        <v>2.1</v>
      </c>
      <c r="AJF9" s="93">
        <v>2.1</v>
      </c>
      <c r="AJG9" s="93">
        <v>2.1</v>
      </c>
      <c r="AKL9" s="93">
        <v>2.1</v>
      </c>
      <c r="AKM9" s="93">
        <v>2.1</v>
      </c>
      <c r="ALR9" s="93">
        <v>2.1</v>
      </c>
      <c r="ALS9" s="93">
        <v>2.1</v>
      </c>
      <c r="AMX9" s="93">
        <v>2.1</v>
      </c>
      <c r="AMY9" s="93">
        <v>2.1</v>
      </c>
      <c r="AOD9" s="93">
        <v>2.1</v>
      </c>
      <c r="AOE9" s="93">
        <v>2.1</v>
      </c>
      <c r="APJ9" s="93">
        <v>2.1</v>
      </c>
      <c r="APK9" s="93">
        <v>2.1</v>
      </c>
      <c r="AQP9" s="93">
        <v>2.1</v>
      </c>
      <c r="AQQ9" s="93">
        <v>2.1</v>
      </c>
      <c r="ARV9" s="93">
        <v>2.1</v>
      </c>
      <c r="ARW9" s="93">
        <v>2.1</v>
      </c>
      <c r="ATB9" s="93">
        <v>2.1</v>
      </c>
      <c r="ATC9" s="93">
        <v>2.1</v>
      </c>
      <c r="AUH9" s="93">
        <v>2.1</v>
      </c>
      <c r="AUI9" s="93">
        <v>2.1</v>
      </c>
      <c r="AVN9" s="93">
        <v>2.1</v>
      </c>
      <c r="AVO9" s="93">
        <v>2.1</v>
      </c>
      <c r="AWT9" s="93">
        <v>2.1</v>
      </c>
      <c r="AWU9" s="93">
        <v>2.1</v>
      </c>
      <c r="AXZ9" s="93">
        <v>2.1</v>
      </c>
      <c r="AYA9" s="93">
        <v>2.1</v>
      </c>
      <c r="AZF9" s="93">
        <v>2.1</v>
      </c>
      <c r="AZG9" s="93">
        <v>2.1</v>
      </c>
      <c r="BAL9" s="93">
        <v>2.1</v>
      </c>
      <c r="BAM9" s="93">
        <v>2.1</v>
      </c>
      <c r="BBR9" s="93">
        <v>2.1</v>
      </c>
      <c r="BBS9" s="93">
        <v>2.1</v>
      </c>
      <c r="BCX9" s="93">
        <v>2.1</v>
      </c>
      <c r="BCY9" s="93">
        <v>2.1</v>
      </c>
      <c r="BED9" s="93">
        <v>2.1</v>
      </c>
      <c r="BEE9" s="93">
        <v>2.1</v>
      </c>
      <c r="BFJ9" s="93">
        <v>2.1</v>
      </c>
      <c r="BFK9" s="93">
        <v>2.1</v>
      </c>
      <c r="BGP9" s="93">
        <v>2.1</v>
      </c>
      <c r="BGQ9" s="93">
        <v>2.1</v>
      </c>
      <c r="BHV9" s="93">
        <v>2.1</v>
      </c>
      <c r="BHW9" s="93">
        <v>2.1</v>
      </c>
      <c r="BJB9" s="93">
        <v>2.1</v>
      </c>
      <c r="BJC9" s="93">
        <v>2.1</v>
      </c>
      <c r="BKH9" s="93">
        <v>2.1</v>
      </c>
      <c r="BKI9" s="93">
        <v>2.1</v>
      </c>
      <c r="BLN9" s="93">
        <v>2.1</v>
      </c>
      <c r="BLO9" s="93">
        <v>2.1</v>
      </c>
      <c r="BMT9" s="93">
        <v>2.1</v>
      </c>
      <c r="BMU9" s="93">
        <v>2.1</v>
      </c>
      <c r="BNZ9" s="93">
        <v>2.1</v>
      </c>
      <c r="BOA9" s="93">
        <v>2.1</v>
      </c>
      <c r="BPF9" s="93">
        <v>2.1</v>
      </c>
      <c r="BPG9" s="93">
        <v>2.1</v>
      </c>
      <c r="BQL9" s="93">
        <v>2.1</v>
      </c>
      <c r="BQM9" s="93">
        <v>2.1</v>
      </c>
      <c r="BRR9" s="93">
        <v>2.1</v>
      </c>
      <c r="BRS9" s="93">
        <v>2.1</v>
      </c>
      <c r="BSX9" s="93">
        <v>2.1</v>
      </c>
      <c r="BSY9" s="93">
        <v>2.1</v>
      </c>
      <c r="BUD9" s="93">
        <v>2.1</v>
      </c>
      <c r="BUE9" s="93">
        <v>2.1</v>
      </c>
      <c r="BVJ9" s="93">
        <v>2.1</v>
      </c>
      <c r="BVK9" s="93">
        <v>2.1</v>
      </c>
      <c r="BWP9" s="93">
        <v>2.1</v>
      </c>
      <c r="BWQ9" s="93">
        <v>2.1</v>
      </c>
      <c r="BXV9" s="93">
        <v>2.1</v>
      </c>
      <c r="BXW9" s="93">
        <v>2.1</v>
      </c>
      <c r="BZB9" s="93">
        <v>2.1</v>
      </c>
      <c r="BZC9" s="93">
        <v>2.1</v>
      </c>
      <c r="CAH9" s="93">
        <v>2.1</v>
      </c>
      <c r="CAI9" s="93">
        <v>2.1</v>
      </c>
      <c r="CBN9" s="93">
        <v>2.1</v>
      </c>
      <c r="CBO9" s="93">
        <v>2.1</v>
      </c>
      <c r="CCT9" s="93">
        <v>2.1</v>
      </c>
      <c r="CCU9" s="93">
        <v>2.1</v>
      </c>
      <c r="CDZ9" s="93">
        <v>2.1</v>
      </c>
      <c r="CEA9" s="93">
        <v>2.1</v>
      </c>
      <c r="CFF9" s="93">
        <v>2.1</v>
      </c>
      <c r="CFG9" s="93">
        <v>2.1</v>
      </c>
      <c r="CGL9" s="93">
        <v>2.1</v>
      </c>
      <c r="CGM9" s="93">
        <v>2.1</v>
      </c>
      <c r="CHR9" s="93">
        <v>2.1</v>
      </c>
      <c r="CHS9" s="93">
        <v>2.1</v>
      </c>
      <c r="CIX9" s="93">
        <v>2.1</v>
      </c>
      <c r="CIY9" s="93">
        <v>2.1</v>
      </c>
      <c r="CKD9" s="93">
        <v>2.1</v>
      </c>
      <c r="CKE9" s="93">
        <v>2.1</v>
      </c>
      <c r="CLJ9" s="93">
        <v>2.1</v>
      </c>
      <c r="CLK9" s="93">
        <v>2.1</v>
      </c>
      <c r="CMP9" s="93">
        <v>2.1</v>
      </c>
      <c r="CMQ9" s="93">
        <v>2.1</v>
      </c>
      <c r="CNV9" s="93">
        <v>2.1</v>
      </c>
      <c r="CNW9" s="93">
        <v>2.1</v>
      </c>
      <c r="CPB9" s="93">
        <v>2.1</v>
      </c>
      <c r="CPC9" s="93">
        <v>2.1</v>
      </c>
      <c r="CQH9" s="93">
        <v>2.1</v>
      </c>
      <c r="CQI9" s="93">
        <v>2.1</v>
      </c>
      <c r="CRN9" s="93">
        <v>2.1</v>
      </c>
      <c r="CRO9" s="93">
        <v>2.1</v>
      </c>
      <c r="CST9" s="93">
        <v>2.1</v>
      </c>
      <c r="CSU9" s="93">
        <v>2.1</v>
      </c>
      <c r="CTZ9" s="93">
        <v>2.1</v>
      </c>
      <c r="CUA9" s="93">
        <v>2.1</v>
      </c>
      <c r="CVF9" s="93">
        <v>2.1</v>
      </c>
      <c r="CVG9" s="93">
        <v>2.1</v>
      </c>
      <c r="CWL9" s="93">
        <v>2.1</v>
      </c>
      <c r="CWM9" s="93">
        <v>2.1</v>
      </c>
      <c r="CXR9" s="93">
        <v>2.1</v>
      </c>
      <c r="CXS9" s="93">
        <v>2.1</v>
      </c>
      <c r="CYX9" s="93">
        <v>2.1</v>
      </c>
      <c r="CYY9" s="93">
        <v>2.1</v>
      </c>
      <c r="DAD9" s="93">
        <v>2.1</v>
      </c>
      <c r="DAE9" s="93">
        <v>2.1</v>
      </c>
      <c r="DBJ9" s="93">
        <v>2.1</v>
      </c>
      <c r="DBK9" s="93">
        <v>2.1</v>
      </c>
      <c r="DCP9" s="93">
        <v>2.1</v>
      </c>
      <c r="DCQ9" s="93">
        <v>2.1</v>
      </c>
      <c r="DDV9" s="93">
        <v>2.1</v>
      </c>
      <c r="DDW9" s="93">
        <v>2.1</v>
      </c>
      <c r="DFB9" s="93">
        <v>2.1</v>
      </c>
      <c r="DFC9" s="93">
        <v>2.1</v>
      </c>
      <c r="DGH9" s="93">
        <v>2.1</v>
      </c>
      <c r="DGI9" s="93">
        <v>2.1</v>
      </c>
      <c r="DHN9" s="93">
        <v>2.1</v>
      </c>
      <c r="DHO9" s="93">
        <v>2.1</v>
      </c>
      <c r="DIT9" s="93">
        <v>2.1</v>
      </c>
      <c r="DIU9" s="93">
        <v>2.1</v>
      </c>
      <c r="DJZ9" s="93">
        <v>2.1</v>
      </c>
      <c r="DKA9" s="93">
        <v>2.1</v>
      </c>
      <c r="DLF9" s="93">
        <v>2.1</v>
      </c>
      <c r="DLG9" s="93">
        <v>2.1</v>
      </c>
      <c r="DML9" s="93">
        <v>2.1</v>
      </c>
      <c r="DMM9" s="93">
        <v>2.1</v>
      </c>
      <c r="DNR9" s="93">
        <v>2.1</v>
      </c>
      <c r="DNS9" s="93">
        <v>2.1</v>
      </c>
      <c r="DOX9" s="93">
        <v>2.1</v>
      </c>
      <c r="DOY9" s="93">
        <v>2.1</v>
      </c>
      <c r="DQD9" s="93">
        <v>2.1</v>
      </c>
      <c r="DQE9" s="93">
        <v>2.1</v>
      </c>
      <c r="DRJ9" s="93">
        <v>2.1</v>
      </c>
      <c r="DRK9" s="93">
        <v>2.1</v>
      </c>
      <c r="DSP9" s="93">
        <v>2.1</v>
      </c>
      <c r="DSQ9" s="93">
        <v>2.1</v>
      </c>
      <c r="DTV9" s="93">
        <v>2.1</v>
      </c>
      <c r="DTW9" s="93">
        <v>2.1</v>
      </c>
      <c r="DVB9" s="93">
        <v>2.1</v>
      </c>
      <c r="DVC9" s="93">
        <v>2.1</v>
      </c>
      <c r="DWH9" s="93">
        <v>2.1</v>
      </c>
      <c r="DWI9" s="93">
        <v>2.1</v>
      </c>
      <c r="DXN9" s="93">
        <v>2.1</v>
      </c>
      <c r="DXO9" s="93">
        <v>2.1</v>
      </c>
      <c r="DYT9" s="93">
        <v>2.1</v>
      </c>
      <c r="DYU9" s="93">
        <v>2.1</v>
      </c>
      <c r="DZZ9" s="93">
        <v>2.1</v>
      </c>
      <c r="EAA9" s="93">
        <v>2.1</v>
      </c>
      <c r="EBF9" s="93">
        <v>2.1</v>
      </c>
      <c r="EBG9" s="93">
        <v>2.1</v>
      </c>
      <c r="ECL9" s="93">
        <v>2.1</v>
      </c>
      <c r="ECM9" s="93">
        <v>2.1</v>
      </c>
      <c r="EDR9" s="93">
        <v>2.1</v>
      </c>
      <c r="EDS9" s="93">
        <v>2.1</v>
      </c>
      <c r="EEX9" s="93">
        <v>2.1</v>
      </c>
      <c r="EEY9" s="93">
        <v>2.1</v>
      </c>
      <c r="EGD9" s="93">
        <v>2.1</v>
      </c>
      <c r="EGE9" s="93">
        <v>2.1</v>
      </c>
      <c r="EHJ9" s="93">
        <v>2.1</v>
      </c>
      <c r="EHK9" s="93">
        <v>2.1</v>
      </c>
      <c r="EIP9" s="93">
        <v>2.1</v>
      </c>
      <c r="EIQ9" s="93">
        <v>2.1</v>
      </c>
      <c r="EJV9" s="93">
        <v>2.1</v>
      </c>
      <c r="EJW9" s="93">
        <v>2.1</v>
      </c>
      <c r="ELB9" s="93">
        <v>2.1</v>
      </c>
      <c r="ELC9" s="93">
        <v>2.1</v>
      </c>
      <c r="EMH9" s="93">
        <v>2.1</v>
      </c>
      <c r="EMI9" s="93">
        <v>2.1</v>
      </c>
      <c r="ENN9" s="93">
        <v>2.1</v>
      </c>
      <c r="ENO9" s="93">
        <v>2.1</v>
      </c>
      <c r="EOT9" s="93">
        <v>2.1</v>
      </c>
      <c r="EOU9" s="93">
        <v>2.1</v>
      </c>
      <c r="EPZ9" s="93">
        <v>2.1</v>
      </c>
      <c r="EQA9" s="93">
        <v>2.1</v>
      </c>
      <c r="ERF9" s="93">
        <v>2.1</v>
      </c>
      <c r="ERG9" s="93">
        <v>2.1</v>
      </c>
      <c r="ESL9" s="93">
        <v>2.1</v>
      </c>
      <c r="ESM9" s="93">
        <v>2.1</v>
      </c>
      <c r="ETR9" s="93">
        <v>2.1</v>
      </c>
      <c r="ETS9" s="93">
        <v>2.1</v>
      </c>
      <c r="EUX9" s="93">
        <v>2.1</v>
      </c>
      <c r="EUY9" s="93">
        <v>2.1</v>
      </c>
      <c r="EWD9" s="93">
        <v>2.1</v>
      </c>
      <c r="EWE9" s="93">
        <v>2.1</v>
      </c>
      <c r="EXJ9" s="93">
        <v>2.1</v>
      </c>
      <c r="EXK9" s="93">
        <v>2.1</v>
      </c>
      <c r="EYP9" s="93">
        <v>2.1</v>
      </c>
      <c r="EYQ9" s="93">
        <v>2.1</v>
      </c>
      <c r="EZV9" s="93">
        <v>2.1</v>
      </c>
      <c r="EZW9" s="93">
        <v>2.1</v>
      </c>
      <c r="FBB9" s="93">
        <v>2.1</v>
      </c>
      <c r="FBC9" s="93">
        <v>2.1</v>
      </c>
      <c r="FCH9" s="93">
        <v>2.1</v>
      </c>
      <c r="FCI9" s="93">
        <v>2.1</v>
      </c>
      <c r="FDN9" s="93">
        <v>2.1</v>
      </c>
      <c r="FDO9" s="93">
        <v>2.1</v>
      </c>
      <c r="FET9" s="93">
        <v>2.1</v>
      </c>
      <c r="FEU9" s="93">
        <v>2.1</v>
      </c>
      <c r="FFZ9" s="93">
        <v>2.1</v>
      </c>
      <c r="FGA9" s="93">
        <v>2.1</v>
      </c>
      <c r="FHF9" s="93">
        <v>2.1</v>
      </c>
      <c r="FHG9" s="93">
        <v>2.1</v>
      </c>
      <c r="FIL9" s="93">
        <v>2.1</v>
      </c>
      <c r="FIM9" s="93">
        <v>2.1</v>
      </c>
      <c r="FJR9" s="93">
        <v>2.1</v>
      </c>
      <c r="FJS9" s="93">
        <v>2.1</v>
      </c>
      <c r="FKX9" s="93">
        <v>2.1</v>
      </c>
      <c r="FKY9" s="93">
        <v>2.1</v>
      </c>
      <c r="FMD9" s="93">
        <v>2.1</v>
      </c>
      <c r="FME9" s="93">
        <v>2.1</v>
      </c>
      <c r="FNJ9" s="93">
        <v>2.1</v>
      </c>
      <c r="FNK9" s="93">
        <v>2.1</v>
      </c>
      <c r="FOP9" s="93">
        <v>2.1</v>
      </c>
      <c r="FOQ9" s="93">
        <v>2.1</v>
      </c>
      <c r="FPV9" s="93">
        <v>2.1</v>
      </c>
      <c r="FPW9" s="93">
        <v>2.1</v>
      </c>
      <c r="FRB9" s="93">
        <v>2.1</v>
      </c>
      <c r="FRC9" s="93">
        <v>2.1</v>
      </c>
      <c r="FSH9" s="93">
        <v>2.1</v>
      </c>
      <c r="FSI9" s="93">
        <v>2.1</v>
      </c>
      <c r="FTN9" s="93">
        <v>2.1</v>
      </c>
      <c r="FTO9" s="93">
        <v>2.1</v>
      </c>
      <c r="FUT9" s="93">
        <v>2.1</v>
      </c>
      <c r="FUU9" s="93">
        <v>2.1</v>
      </c>
      <c r="FVZ9" s="93">
        <v>2.1</v>
      </c>
      <c r="FWA9" s="93">
        <v>2.1</v>
      </c>
      <c r="FXF9" s="93">
        <v>2.1</v>
      </c>
      <c r="FXG9" s="93">
        <v>2.1</v>
      </c>
      <c r="FYL9" s="93">
        <v>2.1</v>
      </c>
      <c r="FYM9" s="93">
        <v>2.1</v>
      </c>
      <c r="FZR9" s="93">
        <v>2.1</v>
      </c>
      <c r="FZS9" s="93">
        <v>2.1</v>
      </c>
      <c r="GAX9" s="93">
        <v>2.1</v>
      </c>
      <c r="GAY9" s="93">
        <v>2.1</v>
      </c>
      <c r="GCD9" s="93">
        <v>2.1</v>
      </c>
      <c r="GCE9" s="93">
        <v>2.1</v>
      </c>
      <c r="GDJ9" s="93">
        <v>2.1</v>
      </c>
      <c r="GDK9" s="93">
        <v>2.1</v>
      </c>
      <c r="GEP9" s="93">
        <v>2.1</v>
      </c>
      <c r="GEQ9" s="93">
        <v>2.1</v>
      </c>
      <c r="GFV9" s="93">
        <v>2.1</v>
      </c>
      <c r="GFW9" s="93">
        <v>2.1</v>
      </c>
      <c r="GHB9" s="93">
        <v>2.1</v>
      </c>
      <c r="GHC9" s="93">
        <v>2.1</v>
      </c>
      <c r="GIH9" s="93">
        <v>2.1</v>
      </c>
      <c r="GII9" s="93">
        <v>2.1</v>
      </c>
      <c r="GJN9" s="93">
        <v>2.1</v>
      </c>
      <c r="GJO9" s="93">
        <v>2.1</v>
      </c>
      <c r="GKT9" s="93">
        <v>2.1</v>
      </c>
      <c r="GKU9" s="93">
        <v>2.1</v>
      </c>
      <c r="GLZ9" s="93">
        <v>2.1</v>
      </c>
      <c r="GMA9" s="93">
        <v>2.1</v>
      </c>
      <c r="GNF9" s="93">
        <v>2.1</v>
      </c>
      <c r="GNG9" s="93">
        <v>2.1</v>
      </c>
      <c r="GOL9" s="93">
        <v>2.1</v>
      </c>
      <c r="GOM9" s="93">
        <v>2.1</v>
      </c>
      <c r="GPR9" s="93">
        <v>2.1</v>
      </c>
      <c r="GPS9" s="93">
        <v>2.1</v>
      </c>
      <c r="GQX9" s="93">
        <v>2.1</v>
      </c>
      <c r="GQY9" s="93">
        <v>2.1</v>
      </c>
      <c r="GSD9" s="93">
        <v>2.1</v>
      </c>
      <c r="GSE9" s="93">
        <v>2.1</v>
      </c>
      <c r="GTJ9" s="93">
        <v>2.1</v>
      </c>
      <c r="GTK9" s="93">
        <v>2.1</v>
      </c>
      <c r="GUP9" s="93">
        <v>2.1</v>
      </c>
      <c r="GUQ9" s="93">
        <v>2.1</v>
      </c>
      <c r="GVV9" s="93">
        <v>2.1</v>
      </c>
      <c r="GVW9" s="93">
        <v>2.1</v>
      </c>
      <c r="GXB9" s="93">
        <v>2.1</v>
      </c>
      <c r="GXC9" s="93">
        <v>2.1</v>
      </c>
      <c r="GYH9" s="93">
        <v>2.1</v>
      </c>
      <c r="GYI9" s="93">
        <v>2.1</v>
      </c>
      <c r="GZN9" s="93">
        <v>2.1</v>
      </c>
      <c r="GZO9" s="93">
        <v>2.1</v>
      </c>
      <c r="HAT9" s="93">
        <v>2.1</v>
      </c>
      <c r="HAU9" s="93">
        <v>2.1</v>
      </c>
      <c r="HBZ9" s="93">
        <v>2.1</v>
      </c>
      <c r="HCA9" s="93">
        <v>2.1</v>
      </c>
      <c r="HDF9" s="93">
        <v>2.1</v>
      </c>
      <c r="HDG9" s="93">
        <v>2.1</v>
      </c>
      <c r="HEL9" s="93">
        <v>2.1</v>
      </c>
      <c r="HEM9" s="93">
        <v>2.1</v>
      </c>
      <c r="HFR9" s="93">
        <v>2.1</v>
      </c>
      <c r="HFS9" s="93">
        <v>2.1</v>
      </c>
      <c r="HGX9" s="93">
        <v>2.1</v>
      </c>
      <c r="HGY9" s="93">
        <v>2.1</v>
      </c>
      <c r="HID9" s="93">
        <v>2.1</v>
      </c>
      <c r="HIE9" s="93">
        <v>2.1</v>
      </c>
      <c r="HJJ9" s="93">
        <v>2.1</v>
      </c>
      <c r="HJK9" s="93">
        <v>2.1</v>
      </c>
      <c r="HKP9" s="93">
        <v>2.1</v>
      </c>
      <c r="HKQ9" s="93">
        <v>2.1</v>
      </c>
      <c r="HLV9" s="93">
        <v>2.1</v>
      </c>
      <c r="HLW9" s="93">
        <v>2.1</v>
      </c>
      <c r="HNB9" s="93">
        <v>2.1</v>
      </c>
      <c r="HNC9" s="93">
        <v>2.1</v>
      </c>
      <c r="HOH9" s="93">
        <v>2.1</v>
      </c>
      <c r="HOI9" s="93">
        <v>2.1</v>
      </c>
      <c r="HPN9" s="93">
        <v>2.1</v>
      </c>
      <c r="HPO9" s="93">
        <v>2.1</v>
      </c>
      <c r="HQT9" s="93">
        <v>2.1</v>
      </c>
      <c r="HQU9" s="93">
        <v>2.1</v>
      </c>
      <c r="HRZ9" s="93">
        <v>2.1</v>
      </c>
      <c r="HSA9" s="93">
        <v>2.1</v>
      </c>
      <c r="HTF9" s="93">
        <v>2.1</v>
      </c>
      <c r="HTG9" s="93">
        <v>2.1</v>
      </c>
      <c r="HUL9" s="93">
        <v>2.1</v>
      </c>
      <c r="HUM9" s="93">
        <v>2.1</v>
      </c>
      <c r="HVR9" s="93">
        <v>2.1</v>
      </c>
      <c r="HVS9" s="93">
        <v>2.1</v>
      </c>
      <c r="HWX9" s="93">
        <v>2.1</v>
      </c>
      <c r="HWY9" s="93">
        <v>2.1</v>
      </c>
      <c r="HYD9" s="93">
        <v>2.1</v>
      </c>
      <c r="HYE9" s="93">
        <v>2.1</v>
      </c>
      <c r="HZJ9" s="93">
        <v>2.1</v>
      </c>
      <c r="HZK9" s="93">
        <v>2.1</v>
      </c>
      <c r="IAP9" s="93">
        <v>2.1</v>
      </c>
      <c r="IAQ9" s="93">
        <v>2.1</v>
      </c>
      <c r="IBV9" s="93">
        <v>2.1</v>
      </c>
      <c r="IBW9" s="93">
        <v>2.1</v>
      </c>
      <c r="IDB9" s="93">
        <v>2.1</v>
      </c>
      <c r="IDC9" s="93">
        <v>2.1</v>
      </c>
      <c r="IEH9" s="93">
        <v>2.1</v>
      </c>
      <c r="IEI9" s="93">
        <v>2.1</v>
      </c>
      <c r="IFN9" s="93">
        <v>2.1</v>
      </c>
      <c r="IFO9" s="93">
        <v>2.1</v>
      </c>
      <c r="IGT9" s="93">
        <v>2.1</v>
      </c>
      <c r="IGU9" s="93">
        <v>2.1</v>
      </c>
      <c r="IHZ9" s="93">
        <v>2.1</v>
      </c>
      <c r="IIA9" s="93">
        <v>2.1</v>
      </c>
      <c r="IJF9" s="93">
        <v>2.1</v>
      </c>
      <c r="IJG9" s="93">
        <v>2.1</v>
      </c>
      <c r="IKL9" s="93">
        <v>2.1</v>
      </c>
      <c r="IKM9" s="93">
        <v>2.1</v>
      </c>
      <c r="ILR9" s="93">
        <v>2.1</v>
      </c>
      <c r="ILS9" s="93">
        <v>2.1</v>
      </c>
      <c r="IMX9" s="93">
        <v>2.1</v>
      </c>
      <c r="IMY9" s="93">
        <v>2.1</v>
      </c>
      <c r="IOD9" s="93">
        <v>2.1</v>
      </c>
      <c r="IOE9" s="93">
        <v>2.1</v>
      </c>
      <c r="IPJ9" s="93">
        <v>2.1</v>
      </c>
      <c r="IPK9" s="93">
        <v>2.1</v>
      </c>
      <c r="IQP9" s="93">
        <v>2.1</v>
      </c>
      <c r="IQQ9" s="93">
        <v>2.1</v>
      </c>
      <c r="IRV9" s="93">
        <v>2.1</v>
      </c>
      <c r="IRW9" s="93">
        <v>2.1</v>
      </c>
      <c r="ITB9" s="93">
        <v>2.1</v>
      </c>
      <c r="ITC9" s="93">
        <v>2.1</v>
      </c>
      <c r="IUH9" s="93">
        <v>2.1</v>
      </c>
      <c r="IUI9" s="93">
        <v>2.1</v>
      </c>
      <c r="IVN9" s="93">
        <v>2.1</v>
      </c>
      <c r="IVO9" s="93">
        <v>2.1</v>
      </c>
      <c r="IWT9" s="93">
        <v>2.1</v>
      </c>
      <c r="IWU9" s="93">
        <v>2.1</v>
      </c>
      <c r="IXZ9" s="93">
        <v>2.1</v>
      </c>
      <c r="IYA9" s="93">
        <v>2.1</v>
      </c>
      <c r="IZF9" s="93">
        <v>2.1</v>
      </c>
      <c r="IZG9" s="93">
        <v>2.1</v>
      </c>
      <c r="JAL9" s="93">
        <v>2.1</v>
      </c>
      <c r="JAM9" s="93">
        <v>2.1</v>
      </c>
      <c r="JBR9" s="93">
        <v>2.1</v>
      </c>
      <c r="JBS9" s="93">
        <v>2.1</v>
      </c>
      <c r="JCX9" s="93">
        <v>2.1</v>
      </c>
      <c r="JCY9" s="93">
        <v>2.1</v>
      </c>
      <c r="JED9" s="93">
        <v>2.1</v>
      </c>
      <c r="JEE9" s="93">
        <v>2.1</v>
      </c>
      <c r="JFJ9" s="93">
        <v>2.1</v>
      </c>
      <c r="JFK9" s="93">
        <v>2.1</v>
      </c>
      <c r="JGP9" s="93">
        <v>2.1</v>
      </c>
      <c r="JGQ9" s="93">
        <v>2.1</v>
      </c>
      <c r="JHV9" s="93">
        <v>2.1</v>
      </c>
      <c r="JHW9" s="93">
        <v>2.1</v>
      </c>
      <c r="JJB9" s="93">
        <v>2.1</v>
      </c>
      <c r="JJC9" s="93">
        <v>2.1</v>
      </c>
      <c r="JKH9" s="93">
        <v>2.1</v>
      </c>
      <c r="JKI9" s="93">
        <v>2.1</v>
      </c>
      <c r="JLN9" s="93">
        <v>2.1</v>
      </c>
      <c r="JLO9" s="93">
        <v>2.1</v>
      </c>
      <c r="JMT9" s="93">
        <v>2.1</v>
      </c>
      <c r="JMU9" s="93">
        <v>2.1</v>
      </c>
      <c r="JNZ9" s="93">
        <v>2.1</v>
      </c>
      <c r="JOA9" s="93">
        <v>2.1</v>
      </c>
      <c r="JPF9" s="93">
        <v>2.1</v>
      </c>
      <c r="JPG9" s="93">
        <v>2.1</v>
      </c>
      <c r="JQL9" s="93">
        <v>2.1</v>
      </c>
      <c r="JQM9" s="93">
        <v>2.1</v>
      </c>
      <c r="JRR9" s="93">
        <v>2.1</v>
      </c>
      <c r="JRS9" s="93">
        <v>2.1</v>
      </c>
      <c r="JSX9" s="93">
        <v>2.1</v>
      </c>
      <c r="JSY9" s="93">
        <v>2.1</v>
      </c>
      <c r="JUD9" s="93">
        <v>2.1</v>
      </c>
      <c r="JUE9" s="93">
        <v>2.1</v>
      </c>
      <c r="JVJ9" s="93">
        <v>2.1</v>
      </c>
      <c r="JVK9" s="93">
        <v>2.1</v>
      </c>
      <c r="JWP9" s="93">
        <v>2.1</v>
      </c>
      <c r="JWQ9" s="93">
        <v>2.1</v>
      </c>
      <c r="JXV9" s="93">
        <v>2.1</v>
      </c>
      <c r="JXW9" s="93">
        <v>2.1</v>
      </c>
      <c r="JZB9" s="93">
        <v>2.1</v>
      </c>
      <c r="JZC9" s="93">
        <v>2.1</v>
      </c>
      <c r="KAH9" s="93">
        <v>2.1</v>
      </c>
      <c r="KAI9" s="93">
        <v>2.1</v>
      </c>
      <c r="KBN9" s="93">
        <v>2.1</v>
      </c>
      <c r="KBO9" s="93">
        <v>2.1</v>
      </c>
      <c r="KCT9" s="93">
        <v>2.1</v>
      </c>
      <c r="KCU9" s="93">
        <v>2.1</v>
      </c>
      <c r="KDZ9" s="93">
        <v>2.1</v>
      </c>
      <c r="KEA9" s="93">
        <v>2.1</v>
      </c>
      <c r="KFF9" s="93">
        <v>2.1</v>
      </c>
      <c r="KFG9" s="93">
        <v>2.1</v>
      </c>
      <c r="KGL9" s="93">
        <v>2.1</v>
      </c>
      <c r="KGM9" s="93">
        <v>2.1</v>
      </c>
      <c r="KHR9" s="93">
        <v>2.1</v>
      </c>
      <c r="KHS9" s="93">
        <v>2.1</v>
      </c>
      <c r="KIX9" s="93">
        <v>2.1</v>
      </c>
      <c r="KIY9" s="93">
        <v>2.1</v>
      </c>
      <c r="KKD9" s="93">
        <v>2.1</v>
      </c>
      <c r="KKE9" s="93">
        <v>2.1</v>
      </c>
      <c r="KLJ9" s="93">
        <v>2.1</v>
      </c>
      <c r="KLK9" s="93">
        <v>2.1</v>
      </c>
      <c r="KMP9" s="93">
        <v>2.1</v>
      </c>
      <c r="KMQ9" s="93">
        <v>2.1</v>
      </c>
      <c r="KNV9" s="93">
        <v>2.1</v>
      </c>
      <c r="KNW9" s="93">
        <v>2.1</v>
      </c>
      <c r="KPB9" s="93">
        <v>2.1</v>
      </c>
      <c r="KPC9" s="93">
        <v>2.1</v>
      </c>
      <c r="KQH9" s="93">
        <v>2.1</v>
      </c>
      <c r="KQI9" s="93">
        <v>2.1</v>
      </c>
      <c r="KRN9" s="93">
        <v>2.1</v>
      </c>
      <c r="KRO9" s="93">
        <v>2.1</v>
      </c>
      <c r="KST9" s="93">
        <v>2.1</v>
      </c>
      <c r="KSU9" s="93">
        <v>2.1</v>
      </c>
      <c r="KTZ9" s="93">
        <v>2.1</v>
      </c>
      <c r="KUA9" s="93">
        <v>2.1</v>
      </c>
      <c r="KVF9" s="93">
        <v>2.1</v>
      </c>
      <c r="KVG9" s="93">
        <v>2.1</v>
      </c>
      <c r="KWL9" s="93">
        <v>2.1</v>
      </c>
      <c r="KWM9" s="93">
        <v>2.1</v>
      </c>
      <c r="KXR9" s="93">
        <v>2.1</v>
      </c>
      <c r="KXS9" s="93">
        <v>2.1</v>
      </c>
      <c r="KYX9" s="93">
        <v>2.1</v>
      </c>
      <c r="KYY9" s="93">
        <v>2.1</v>
      </c>
      <c r="LAD9" s="93">
        <v>2.1</v>
      </c>
      <c r="LAE9" s="93">
        <v>2.1</v>
      </c>
      <c r="LBJ9" s="93">
        <v>2.1</v>
      </c>
      <c r="LBK9" s="93">
        <v>2.1</v>
      </c>
      <c r="LCP9" s="93">
        <v>2.1</v>
      </c>
      <c r="LCQ9" s="93">
        <v>2.1</v>
      </c>
      <c r="LDV9" s="93">
        <v>2.1</v>
      </c>
      <c r="LDW9" s="93">
        <v>2.1</v>
      </c>
      <c r="LFB9" s="93">
        <v>2.1</v>
      </c>
      <c r="LFC9" s="93">
        <v>2.1</v>
      </c>
      <c r="LGH9" s="93">
        <v>2.1</v>
      </c>
      <c r="LGI9" s="93">
        <v>2.1</v>
      </c>
      <c r="LHN9" s="93">
        <v>2.1</v>
      </c>
      <c r="LHO9" s="93">
        <v>2.1</v>
      </c>
      <c r="LIT9" s="93">
        <v>2.1</v>
      </c>
      <c r="LIU9" s="93">
        <v>2.1</v>
      </c>
      <c r="LJZ9" s="93">
        <v>2.1</v>
      </c>
      <c r="LKA9" s="93">
        <v>2.1</v>
      </c>
      <c r="LLF9" s="93">
        <v>2.1</v>
      </c>
      <c r="LLG9" s="93">
        <v>2.1</v>
      </c>
      <c r="LML9" s="93">
        <v>2.1</v>
      </c>
      <c r="LMM9" s="93">
        <v>2.1</v>
      </c>
      <c r="LNR9" s="93">
        <v>2.1</v>
      </c>
      <c r="LNS9" s="93">
        <v>2.1</v>
      </c>
      <c r="LOX9" s="93">
        <v>2.1</v>
      </c>
      <c r="LOY9" s="93">
        <v>2.1</v>
      </c>
      <c r="LQD9" s="93">
        <v>2.1</v>
      </c>
      <c r="LQE9" s="93">
        <v>2.1</v>
      </c>
      <c r="LRJ9" s="93">
        <v>2.1</v>
      </c>
      <c r="LRK9" s="93">
        <v>2.1</v>
      </c>
      <c r="LSP9" s="93">
        <v>2.1</v>
      </c>
      <c r="LSQ9" s="93">
        <v>2.1</v>
      </c>
      <c r="LTV9" s="93">
        <v>2.1</v>
      </c>
      <c r="LTW9" s="93">
        <v>2.1</v>
      </c>
      <c r="LVB9" s="93">
        <v>2.1</v>
      </c>
      <c r="LVC9" s="93">
        <v>2.1</v>
      </c>
      <c r="LWH9" s="93">
        <v>2.1</v>
      </c>
      <c r="LWI9" s="93">
        <v>2.1</v>
      </c>
      <c r="LXN9" s="93">
        <v>2.1</v>
      </c>
      <c r="LXO9" s="93">
        <v>2.1</v>
      </c>
      <c r="LYT9" s="93">
        <v>2.1</v>
      </c>
      <c r="LYU9" s="93">
        <v>2.1</v>
      </c>
      <c r="LZZ9" s="93">
        <v>2.1</v>
      </c>
      <c r="MAA9" s="93">
        <v>2.1</v>
      </c>
      <c r="MBF9" s="93">
        <v>2.1</v>
      </c>
      <c r="MBG9" s="93">
        <v>2.1</v>
      </c>
      <c r="MCL9" s="93">
        <v>2.1</v>
      </c>
      <c r="MCM9" s="93">
        <v>2.1</v>
      </c>
      <c r="MDR9" s="93">
        <v>2.1</v>
      </c>
      <c r="MDS9" s="93">
        <v>2.1</v>
      </c>
      <c r="MEX9" s="93">
        <v>2.1</v>
      </c>
      <c r="MEY9" s="93">
        <v>2.1</v>
      </c>
      <c r="MGD9" s="93">
        <v>2.1</v>
      </c>
      <c r="MGE9" s="93">
        <v>2.1</v>
      </c>
      <c r="MHJ9" s="93">
        <v>2.1</v>
      </c>
      <c r="MHK9" s="93">
        <v>2.1</v>
      </c>
      <c r="MIP9" s="93">
        <v>2.1</v>
      </c>
      <c r="MIQ9" s="93">
        <v>2.1</v>
      </c>
      <c r="MJV9" s="93">
        <v>2.1</v>
      </c>
      <c r="MJW9" s="93">
        <v>2.1</v>
      </c>
      <c r="MLB9" s="93">
        <v>2.1</v>
      </c>
      <c r="MLC9" s="93">
        <v>2.1</v>
      </c>
      <c r="MMH9" s="93">
        <v>2.1</v>
      </c>
      <c r="MMI9" s="93">
        <v>2.1</v>
      </c>
      <c r="MNN9" s="93">
        <v>2.1</v>
      </c>
      <c r="MNO9" s="93">
        <v>2.1</v>
      </c>
      <c r="MOT9" s="93">
        <v>2.1</v>
      </c>
      <c r="MOU9" s="93">
        <v>2.1</v>
      </c>
      <c r="MPZ9" s="93">
        <v>2.1</v>
      </c>
      <c r="MQA9" s="93">
        <v>2.1</v>
      </c>
      <c r="MRF9" s="93">
        <v>2.1</v>
      </c>
      <c r="MRG9" s="93">
        <v>2.1</v>
      </c>
      <c r="MSL9" s="93">
        <v>2.1</v>
      </c>
      <c r="MSM9" s="93">
        <v>2.1</v>
      </c>
      <c r="MTR9" s="93">
        <v>2.1</v>
      </c>
      <c r="MTS9" s="93">
        <v>2.1</v>
      </c>
      <c r="MUX9" s="93">
        <v>2.1</v>
      </c>
      <c r="MUY9" s="93">
        <v>2.1</v>
      </c>
      <c r="MWD9" s="93">
        <v>2.1</v>
      </c>
      <c r="MWE9" s="93">
        <v>2.1</v>
      </c>
      <c r="MXJ9" s="93">
        <v>2.1</v>
      </c>
      <c r="MXK9" s="93">
        <v>2.1</v>
      </c>
      <c r="MYP9" s="93">
        <v>2.1</v>
      </c>
      <c r="MYQ9" s="93">
        <v>2.1</v>
      </c>
      <c r="MZV9" s="93">
        <v>2.1</v>
      </c>
      <c r="MZW9" s="93">
        <v>2.1</v>
      </c>
      <c r="NBB9" s="93">
        <v>2.1</v>
      </c>
      <c r="NBC9" s="93">
        <v>2.1</v>
      </c>
      <c r="NCH9" s="93">
        <v>2.1</v>
      </c>
      <c r="NCI9" s="93">
        <v>2.1</v>
      </c>
      <c r="NDN9" s="93">
        <v>2.1</v>
      </c>
      <c r="NDO9" s="93">
        <v>2.1</v>
      </c>
      <c r="NET9" s="93">
        <v>2.1</v>
      </c>
      <c r="NEU9" s="93">
        <v>2.1</v>
      </c>
      <c r="NFZ9" s="93">
        <v>2.1</v>
      </c>
      <c r="NGA9" s="93">
        <v>2.1</v>
      </c>
      <c r="NHF9" s="93">
        <v>2.1</v>
      </c>
      <c r="NHG9" s="93">
        <v>2.1</v>
      </c>
      <c r="NIL9" s="93">
        <v>2.1</v>
      </c>
      <c r="NIM9" s="93">
        <v>2.1</v>
      </c>
      <c r="NJR9" s="93">
        <v>2.1</v>
      </c>
      <c r="NJS9" s="93">
        <v>2.1</v>
      </c>
      <c r="NKX9" s="93">
        <v>2.1</v>
      </c>
      <c r="NKY9" s="93">
        <v>2.1</v>
      </c>
      <c r="NMD9" s="93">
        <v>2.1</v>
      </c>
      <c r="NME9" s="93">
        <v>2.1</v>
      </c>
      <c r="NNJ9" s="93">
        <v>2.1</v>
      </c>
      <c r="NNK9" s="93">
        <v>2.1</v>
      </c>
      <c r="NOP9" s="93">
        <v>2.1</v>
      </c>
      <c r="NOQ9" s="93">
        <v>2.1</v>
      </c>
      <c r="NPV9" s="93">
        <v>2.1</v>
      </c>
      <c r="NPW9" s="93">
        <v>2.1</v>
      </c>
      <c r="NRB9" s="93">
        <v>2.1</v>
      </c>
      <c r="NRC9" s="93">
        <v>2.1</v>
      </c>
      <c r="NSH9" s="93">
        <v>2.1</v>
      </c>
      <c r="NSI9" s="93">
        <v>2.1</v>
      </c>
      <c r="NTN9" s="93">
        <v>2.1</v>
      </c>
      <c r="NTO9" s="93">
        <v>2.1</v>
      </c>
      <c r="NUT9" s="93">
        <v>2.1</v>
      </c>
      <c r="NUU9" s="93">
        <v>2.1</v>
      </c>
      <c r="NVZ9" s="93">
        <v>2.1</v>
      </c>
      <c r="NWA9" s="93">
        <v>2.1</v>
      </c>
      <c r="NXF9" s="93">
        <v>2.1</v>
      </c>
      <c r="NXG9" s="93">
        <v>2.1</v>
      </c>
      <c r="NYL9" s="93">
        <v>2.1</v>
      </c>
      <c r="NYM9" s="93">
        <v>2.1</v>
      </c>
      <c r="NZR9" s="93">
        <v>2.1</v>
      </c>
      <c r="NZS9" s="93">
        <v>2.1</v>
      </c>
      <c r="OAX9" s="93">
        <v>2.1</v>
      </c>
      <c r="OAY9" s="93">
        <v>2.1</v>
      </c>
      <c r="OCD9" s="93">
        <v>2.1</v>
      </c>
      <c r="OCE9" s="93">
        <v>2.1</v>
      </c>
      <c r="ODJ9" s="93">
        <v>2.1</v>
      </c>
      <c r="ODK9" s="93">
        <v>2.1</v>
      </c>
      <c r="OEP9" s="93">
        <v>2.1</v>
      </c>
      <c r="OEQ9" s="93">
        <v>2.1</v>
      </c>
      <c r="OFV9" s="93">
        <v>2.1</v>
      </c>
      <c r="OFW9" s="93">
        <v>2.1</v>
      </c>
      <c r="OHB9" s="93">
        <v>2.1</v>
      </c>
      <c r="OHC9" s="93">
        <v>2.1</v>
      </c>
      <c r="OIH9" s="93">
        <v>2.1</v>
      </c>
      <c r="OII9" s="93">
        <v>2.1</v>
      </c>
      <c r="OJN9" s="93">
        <v>2.1</v>
      </c>
      <c r="OJO9" s="93">
        <v>2.1</v>
      </c>
      <c r="OKT9" s="93">
        <v>2.1</v>
      </c>
      <c r="OKU9" s="93">
        <v>2.1</v>
      </c>
      <c r="OLZ9" s="93">
        <v>2.1</v>
      </c>
      <c r="OMA9" s="93">
        <v>2.1</v>
      </c>
      <c r="ONF9" s="93">
        <v>2.1</v>
      </c>
      <c r="ONG9" s="93">
        <v>2.1</v>
      </c>
      <c r="OOL9" s="93">
        <v>2.1</v>
      </c>
      <c r="OOM9" s="93">
        <v>2.1</v>
      </c>
      <c r="OPR9" s="93">
        <v>2.1</v>
      </c>
      <c r="OPS9" s="93">
        <v>2.1</v>
      </c>
      <c r="OQX9" s="93">
        <v>2.1</v>
      </c>
      <c r="OQY9" s="93">
        <v>2.1</v>
      </c>
      <c r="OSD9" s="93">
        <v>2.1</v>
      </c>
      <c r="OSE9" s="93">
        <v>2.1</v>
      </c>
      <c r="OTJ9" s="93">
        <v>2.1</v>
      </c>
      <c r="OTK9" s="93">
        <v>2.1</v>
      </c>
      <c r="OUP9" s="93">
        <v>2.1</v>
      </c>
      <c r="OUQ9" s="93">
        <v>2.1</v>
      </c>
      <c r="OVV9" s="93">
        <v>2.1</v>
      </c>
      <c r="OVW9" s="93">
        <v>2.1</v>
      </c>
      <c r="OXB9" s="93">
        <v>2.1</v>
      </c>
      <c r="OXC9" s="93">
        <v>2.1</v>
      </c>
      <c r="OYH9" s="93">
        <v>2.1</v>
      </c>
      <c r="OYI9" s="93">
        <v>2.1</v>
      </c>
      <c r="OZN9" s="93">
        <v>2.1</v>
      </c>
      <c r="OZO9" s="93">
        <v>2.1</v>
      </c>
      <c r="PAT9" s="93">
        <v>2.1</v>
      </c>
      <c r="PAU9" s="93">
        <v>2.1</v>
      </c>
      <c r="PBZ9" s="93">
        <v>2.1</v>
      </c>
      <c r="PCA9" s="93">
        <v>2.1</v>
      </c>
      <c r="PDF9" s="93">
        <v>2.1</v>
      </c>
      <c r="PDG9" s="93">
        <v>2.1</v>
      </c>
      <c r="PEL9" s="93">
        <v>2.1</v>
      </c>
      <c r="PEM9" s="93">
        <v>2.1</v>
      </c>
      <c r="PFR9" s="93">
        <v>2.1</v>
      </c>
      <c r="PFS9" s="93">
        <v>2.1</v>
      </c>
      <c r="PGX9" s="93">
        <v>2.1</v>
      </c>
      <c r="PGY9" s="93">
        <v>2.1</v>
      </c>
      <c r="PID9" s="93">
        <v>2.1</v>
      </c>
      <c r="PIE9" s="93">
        <v>2.1</v>
      </c>
      <c r="PJJ9" s="93">
        <v>2.1</v>
      </c>
      <c r="PJK9" s="93">
        <v>2.1</v>
      </c>
      <c r="PKP9" s="93">
        <v>2.1</v>
      </c>
      <c r="PKQ9" s="93">
        <v>2.1</v>
      </c>
      <c r="PLV9" s="93">
        <v>2.1</v>
      </c>
      <c r="PLW9" s="93">
        <v>2.1</v>
      </c>
      <c r="PNB9" s="93">
        <v>2.1</v>
      </c>
      <c r="PNC9" s="93">
        <v>2.1</v>
      </c>
      <c r="POH9" s="93">
        <v>2.1</v>
      </c>
      <c r="POI9" s="93">
        <v>2.1</v>
      </c>
      <c r="PPN9" s="93">
        <v>2.1</v>
      </c>
      <c r="PPO9" s="93">
        <v>2.1</v>
      </c>
      <c r="PQT9" s="93">
        <v>2.1</v>
      </c>
      <c r="PQU9" s="93">
        <v>2.1</v>
      </c>
      <c r="PRZ9" s="93">
        <v>2.1</v>
      </c>
      <c r="PSA9" s="93">
        <v>2.1</v>
      </c>
      <c r="PTF9" s="93">
        <v>2.1</v>
      </c>
      <c r="PTG9" s="93">
        <v>2.1</v>
      </c>
      <c r="PUL9" s="93">
        <v>2.1</v>
      </c>
      <c r="PUM9" s="93">
        <v>2.1</v>
      </c>
      <c r="PVR9" s="93">
        <v>2.1</v>
      </c>
      <c r="PVS9" s="93">
        <v>2.1</v>
      </c>
      <c r="PWX9" s="93">
        <v>2.1</v>
      </c>
      <c r="PWY9" s="93">
        <v>2.1</v>
      </c>
      <c r="PYD9" s="93">
        <v>2.1</v>
      </c>
      <c r="PYE9" s="93">
        <v>2.1</v>
      </c>
      <c r="PZJ9" s="93">
        <v>2.1</v>
      </c>
      <c r="PZK9" s="93">
        <v>2.1</v>
      </c>
      <c r="QAP9" s="93">
        <v>2.1</v>
      </c>
      <c r="QAQ9" s="93">
        <v>2.1</v>
      </c>
      <c r="QBV9" s="93">
        <v>2.1</v>
      </c>
      <c r="QBW9" s="93">
        <v>2.1</v>
      </c>
      <c r="QDB9" s="93">
        <v>2.1</v>
      </c>
      <c r="QDC9" s="93">
        <v>2.1</v>
      </c>
      <c r="QEH9" s="93">
        <v>2.1</v>
      </c>
      <c r="QEI9" s="93">
        <v>2.1</v>
      </c>
      <c r="QFN9" s="93">
        <v>2.1</v>
      </c>
      <c r="QFO9" s="93">
        <v>2.1</v>
      </c>
      <c r="QGT9" s="93">
        <v>2.1</v>
      </c>
      <c r="QGU9" s="93">
        <v>2.1</v>
      </c>
      <c r="QHZ9" s="93">
        <v>2.1</v>
      </c>
      <c r="QIA9" s="93">
        <v>2.1</v>
      </c>
      <c r="QJF9" s="93">
        <v>2.1</v>
      </c>
      <c r="QJG9" s="93">
        <v>2.1</v>
      </c>
      <c r="QKL9" s="93">
        <v>2.1</v>
      </c>
      <c r="QKM9" s="93">
        <v>2.1</v>
      </c>
      <c r="QLR9" s="93">
        <v>2.1</v>
      </c>
      <c r="QLS9" s="93">
        <v>2.1</v>
      </c>
      <c r="QMX9" s="93">
        <v>2.1</v>
      </c>
      <c r="QMY9" s="93">
        <v>2.1</v>
      </c>
      <c r="QOD9" s="93">
        <v>2.1</v>
      </c>
      <c r="QOE9" s="93">
        <v>2.1</v>
      </c>
      <c r="QPJ9" s="93">
        <v>2.1</v>
      </c>
      <c r="QPK9" s="93">
        <v>2.1</v>
      </c>
      <c r="QQP9" s="93">
        <v>2.1</v>
      </c>
      <c r="QQQ9" s="93">
        <v>2.1</v>
      </c>
      <c r="QRV9" s="93">
        <v>2.1</v>
      </c>
      <c r="QRW9" s="93">
        <v>2.1</v>
      </c>
      <c r="QTB9" s="93">
        <v>2.1</v>
      </c>
      <c r="QTC9" s="93">
        <v>2.1</v>
      </c>
      <c r="QUH9" s="93">
        <v>2.1</v>
      </c>
      <c r="QUI9" s="93">
        <v>2.1</v>
      </c>
      <c r="QVN9" s="93">
        <v>2.1</v>
      </c>
      <c r="QVO9" s="93">
        <v>2.1</v>
      </c>
      <c r="QWT9" s="93">
        <v>2.1</v>
      </c>
      <c r="QWU9" s="93">
        <v>2.1</v>
      </c>
      <c r="QXZ9" s="93">
        <v>2.1</v>
      </c>
      <c r="QYA9" s="93">
        <v>2.1</v>
      </c>
      <c r="QZF9" s="93">
        <v>2.1</v>
      </c>
      <c r="QZG9" s="93">
        <v>2.1</v>
      </c>
      <c r="RAL9" s="93">
        <v>2.1</v>
      </c>
      <c r="RAM9" s="93">
        <v>2.1</v>
      </c>
      <c r="RBR9" s="93">
        <v>2.1</v>
      </c>
      <c r="RBS9" s="93">
        <v>2.1</v>
      </c>
      <c r="RCX9" s="93">
        <v>2.1</v>
      </c>
      <c r="RCY9" s="93">
        <v>2.1</v>
      </c>
      <c r="RED9" s="93">
        <v>2.1</v>
      </c>
      <c r="REE9" s="93">
        <v>2.1</v>
      </c>
      <c r="RFJ9" s="93">
        <v>2.1</v>
      </c>
      <c r="RFK9" s="93">
        <v>2.1</v>
      </c>
      <c r="RGP9" s="93">
        <v>2.1</v>
      </c>
      <c r="RGQ9" s="93">
        <v>2.1</v>
      </c>
      <c r="RHV9" s="93">
        <v>2.1</v>
      </c>
      <c r="RHW9" s="93">
        <v>2.1</v>
      </c>
      <c r="RJB9" s="93">
        <v>2.1</v>
      </c>
      <c r="RJC9" s="93">
        <v>2.1</v>
      </c>
      <c r="RKH9" s="93">
        <v>2.1</v>
      </c>
      <c r="RKI9" s="93">
        <v>2.1</v>
      </c>
      <c r="RLN9" s="93">
        <v>2.1</v>
      </c>
      <c r="RLO9" s="93">
        <v>2.1</v>
      </c>
      <c r="RMT9" s="93">
        <v>2.1</v>
      </c>
      <c r="RMU9" s="93">
        <v>2.1</v>
      </c>
      <c r="RNZ9" s="93">
        <v>2.1</v>
      </c>
      <c r="ROA9" s="93">
        <v>2.1</v>
      </c>
      <c r="RPF9" s="93">
        <v>2.1</v>
      </c>
      <c r="RPG9" s="93">
        <v>2.1</v>
      </c>
      <c r="RQL9" s="93">
        <v>2.1</v>
      </c>
      <c r="RQM9" s="93">
        <v>2.1</v>
      </c>
      <c r="RRR9" s="93">
        <v>2.1</v>
      </c>
      <c r="RRS9" s="93">
        <v>2.1</v>
      </c>
      <c r="RSX9" s="93">
        <v>2.1</v>
      </c>
      <c r="RSY9" s="93">
        <v>2.1</v>
      </c>
      <c r="RUD9" s="93">
        <v>2.1</v>
      </c>
      <c r="RUE9" s="93">
        <v>2.1</v>
      </c>
      <c r="RVJ9" s="93">
        <v>2.1</v>
      </c>
      <c r="RVK9" s="93">
        <v>2.1</v>
      </c>
      <c r="RWP9" s="93">
        <v>2.1</v>
      </c>
      <c r="RWQ9" s="93">
        <v>2.1</v>
      </c>
      <c r="RXV9" s="93">
        <v>2.1</v>
      </c>
      <c r="RXW9" s="93">
        <v>2.1</v>
      </c>
      <c r="RZB9" s="93">
        <v>2.1</v>
      </c>
      <c r="RZC9" s="93">
        <v>2.1</v>
      </c>
      <c r="SAH9" s="93">
        <v>2.1</v>
      </c>
      <c r="SAI9" s="93">
        <v>2.1</v>
      </c>
      <c r="SBN9" s="93">
        <v>2.1</v>
      </c>
      <c r="SBO9" s="93">
        <v>2.1</v>
      </c>
      <c r="SCT9" s="93">
        <v>2.1</v>
      </c>
      <c r="SCU9" s="93">
        <v>2.1</v>
      </c>
      <c r="SDZ9" s="93">
        <v>2.1</v>
      </c>
      <c r="SEA9" s="93">
        <v>2.1</v>
      </c>
      <c r="SFF9" s="93">
        <v>2.1</v>
      </c>
      <c r="SFG9" s="93">
        <v>2.1</v>
      </c>
      <c r="SGL9" s="93">
        <v>2.1</v>
      </c>
      <c r="SGM9" s="93">
        <v>2.1</v>
      </c>
      <c r="SHR9" s="93">
        <v>2.1</v>
      </c>
      <c r="SHS9" s="93">
        <v>2.1</v>
      </c>
      <c r="SIX9" s="93">
        <v>2.1</v>
      </c>
      <c r="SIY9" s="93">
        <v>2.1</v>
      </c>
      <c r="SKD9" s="93">
        <v>2.1</v>
      </c>
      <c r="SKE9" s="93">
        <v>2.1</v>
      </c>
      <c r="SLJ9" s="93">
        <v>2.1</v>
      </c>
      <c r="SLK9" s="93">
        <v>2.1</v>
      </c>
      <c r="SMP9" s="93">
        <v>2.1</v>
      </c>
      <c r="SMQ9" s="93">
        <v>2.1</v>
      </c>
      <c r="SNV9" s="93">
        <v>2.1</v>
      </c>
      <c r="SNW9" s="93">
        <v>2.1</v>
      </c>
      <c r="SPB9" s="93">
        <v>2.1</v>
      </c>
      <c r="SPC9" s="93">
        <v>2.1</v>
      </c>
      <c r="SQH9" s="93">
        <v>2.1</v>
      </c>
      <c r="SQI9" s="93">
        <v>2.1</v>
      </c>
      <c r="SRN9" s="93">
        <v>2.1</v>
      </c>
      <c r="SRO9" s="93">
        <v>2.1</v>
      </c>
      <c r="SST9" s="93">
        <v>2.1</v>
      </c>
      <c r="SSU9" s="93">
        <v>2.1</v>
      </c>
      <c r="STZ9" s="93">
        <v>2.1</v>
      </c>
      <c r="SUA9" s="93">
        <v>2.1</v>
      </c>
      <c r="SVF9" s="93">
        <v>2.1</v>
      </c>
      <c r="SVG9" s="93">
        <v>2.1</v>
      </c>
      <c r="SWL9" s="93">
        <v>2.1</v>
      </c>
      <c r="SWM9" s="93">
        <v>2.1</v>
      </c>
      <c r="SXR9" s="93">
        <v>2.1</v>
      </c>
      <c r="SXS9" s="93">
        <v>2.1</v>
      </c>
      <c r="SYX9" s="93">
        <v>2.1</v>
      </c>
      <c r="SYY9" s="93">
        <v>2.1</v>
      </c>
      <c r="TAD9" s="93">
        <v>2.1</v>
      </c>
      <c r="TAE9" s="93">
        <v>2.1</v>
      </c>
      <c r="TBJ9" s="93">
        <v>2.1</v>
      </c>
      <c r="TBK9" s="93">
        <v>2.1</v>
      </c>
      <c r="TCP9" s="93">
        <v>2.1</v>
      </c>
      <c r="TCQ9" s="93">
        <v>2.1</v>
      </c>
      <c r="TDV9" s="93">
        <v>2.1</v>
      </c>
      <c r="TDW9" s="93">
        <v>2.1</v>
      </c>
      <c r="TFB9" s="93">
        <v>2.1</v>
      </c>
      <c r="TFC9" s="93">
        <v>2.1</v>
      </c>
      <c r="TGH9" s="93">
        <v>2.1</v>
      </c>
      <c r="TGI9" s="93">
        <v>2.1</v>
      </c>
      <c r="THN9" s="93">
        <v>2.1</v>
      </c>
      <c r="THO9" s="93">
        <v>2.1</v>
      </c>
      <c r="TIT9" s="93">
        <v>2.1</v>
      </c>
      <c r="TIU9" s="93">
        <v>2.1</v>
      </c>
      <c r="TJZ9" s="93">
        <v>2.1</v>
      </c>
      <c r="TKA9" s="93">
        <v>2.1</v>
      </c>
      <c r="TLF9" s="93">
        <v>2.1</v>
      </c>
      <c r="TLG9" s="93">
        <v>2.1</v>
      </c>
      <c r="TML9" s="93">
        <v>2.1</v>
      </c>
      <c r="TMM9" s="93">
        <v>2.1</v>
      </c>
      <c r="TNR9" s="93">
        <v>2.1</v>
      </c>
      <c r="TNS9" s="93">
        <v>2.1</v>
      </c>
      <c r="TOX9" s="93">
        <v>2.1</v>
      </c>
      <c r="TOY9" s="93">
        <v>2.1</v>
      </c>
      <c r="TQD9" s="93">
        <v>2.1</v>
      </c>
      <c r="TQE9" s="93">
        <v>2.1</v>
      </c>
      <c r="TRJ9" s="93">
        <v>2.1</v>
      </c>
      <c r="TRK9" s="93">
        <v>2.1</v>
      </c>
      <c r="TSP9" s="93">
        <v>2.1</v>
      </c>
      <c r="TSQ9" s="93">
        <v>2.1</v>
      </c>
      <c r="TTV9" s="93">
        <v>2.1</v>
      </c>
      <c r="TTW9" s="93">
        <v>2.1</v>
      </c>
      <c r="TVB9" s="93">
        <v>2.1</v>
      </c>
      <c r="TVC9" s="93">
        <v>2.1</v>
      </c>
      <c r="TWH9" s="93">
        <v>2.1</v>
      </c>
      <c r="TWI9" s="93">
        <v>2.1</v>
      </c>
      <c r="TXN9" s="93">
        <v>2.1</v>
      </c>
      <c r="TXO9" s="93">
        <v>2.1</v>
      </c>
      <c r="TYT9" s="93">
        <v>2.1</v>
      </c>
      <c r="TYU9" s="93">
        <v>2.1</v>
      </c>
      <c r="TZZ9" s="93">
        <v>2.1</v>
      </c>
      <c r="UAA9" s="93">
        <v>2.1</v>
      </c>
      <c r="UBF9" s="93">
        <v>2.1</v>
      </c>
      <c r="UBG9" s="93">
        <v>2.1</v>
      </c>
      <c r="UCL9" s="93">
        <v>2.1</v>
      </c>
      <c r="UCM9" s="93">
        <v>2.1</v>
      </c>
      <c r="UDR9" s="93">
        <v>2.1</v>
      </c>
      <c r="UDS9" s="93">
        <v>2.1</v>
      </c>
      <c r="UEX9" s="93">
        <v>2.1</v>
      </c>
      <c r="UEY9" s="93">
        <v>2.1</v>
      </c>
      <c r="UGD9" s="93">
        <v>2.1</v>
      </c>
      <c r="UGE9" s="93">
        <v>2.1</v>
      </c>
      <c r="UHJ9" s="93">
        <v>2.1</v>
      </c>
      <c r="UHK9" s="93">
        <v>2.1</v>
      </c>
      <c r="UIP9" s="93">
        <v>2.1</v>
      </c>
      <c r="UIQ9" s="93">
        <v>2.1</v>
      </c>
      <c r="UJV9" s="93">
        <v>2.1</v>
      </c>
      <c r="UJW9" s="93">
        <v>2.1</v>
      </c>
      <c r="ULB9" s="93">
        <v>2.1</v>
      </c>
      <c r="ULC9" s="93">
        <v>2.1</v>
      </c>
      <c r="UMH9" s="93">
        <v>2.1</v>
      </c>
      <c r="UMI9" s="93">
        <v>2.1</v>
      </c>
      <c r="UNN9" s="93">
        <v>2.1</v>
      </c>
      <c r="UNO9" s="93">
        <v>2.1</v>
      </c>
      <c r="UOT9" s="93">
        <v>2.1</v>
      </c>
      <c r="UOU9" s="93">
        <v>2.1</v>
      </c>
      <c r="UPZ9" s="93">
        <v>2.1</v>
      </c>
      <c r="UQA9" s="93">
        <v>2.1</v>
      </c>
      <c r="URF9" s="93">
        <v>2.1</v>
      </c>
      <c r="URG9" s="93">
        <v>2.1</v>
      </c>
      <c r="USL9" s="93">
        <v>2.1</v>
      </c>
      <c r="USM9" s="93">
        <v>2.1</v>
      </c>
      <c r="UTR9" s="93">
        <v>2.1</v>
      </c>
      <c r="UTS9" s="93">
        <v>2.1</v>
      </c>
      <c r="UUX9" s="93">
        <v>2.1</v>
      </c>
      <c r="UUY9" s="93">
        <v>2.1</v>
      </c>
      <c r="UWD9" s="93">
        <v>2.1</v>
      </c>
      <c r="UWE9" s="93">
        <v>2.1</v>
      </c>
      <c r="UXJ9" s="93">
        <v>2.1</v>
      </c>
      <c r="UXK9" s="93">
        <v>2.1</v>
      </c>
      <c r="UYP9" s="93">
        <v>2.1</v>
      </c>
      <c r="UYQ9" s="93">
        <v>2.1</v>
      </c>
      <c r="UZV9" s="93">
        <v>2.1</v>
      </c>
      <c r="UZW9" s="93">
        <v>2.1</v>
      </c>
      <c r="VBB9" s="93">
        <v>2.1</v>
      </c>
      <c r="VBC9" s="93">
        <v>2.1</v>
      </c>
      <c r="VCH9" s="93">
        <v>2.1</v>
      </c>
      <c r="VCI9" s="93">
        <v>2.1</v>
      </c>
      <c r="VDN9" s="93">
        <v>2.1</v>
      </c>
      <c r="VDO9" s="93">
        <v>2.1</v>
      </c>
      <c r="VET9" s="93">
        <v>2.1</v>
      </c>
      <c r="VEU9" s="93">
        <v>2.1</v>
      </c>
      <c r="VFZ9" s="93">
        <v>2.1</v>
      </c>
      <c r="VGA9" s="93">
        <v>2.1</v>
      </c>
      <c r="VHF9" s="93">
        <v>2.1</v>
      </c>
      <c r="VHG9" s="93">
        <v>2.1</v>
      </c>
      <c r="VIL9" s="93">
        <v>2.1</v>
      </c>
      <c r="VIM9" s="93">
        <v>2.1</v>
      </c>
      <c r="VJR9" s="93">
        <v>2.1</v>
      </c>
      <c r="VJS9" s="93">
        <v>2.1</v>
      </c>
      <c r="VKX9" s="93">
        <v>2.1</v>
      </c>
      <c r="VKY9" s="93">
        <v>2.1</v>
      </c>
      <c r="VMD9" s="93">
        <v>2.1</v>
      </c>
      <c r="VME9" s="93">
        <v>2.1</v>
      </c>
      <c r="VNJ9" s="93">
        <v>2.1</v>
      </c>
      <c r="VNK9" s="93">
        <v>2.1</v>
      </c>
      <c r="VOP9" s="93">
        <v>2.1</v>
      </c>
      <c r="VOQ9" s="93">
        <v>2.1</v>
      </c>
      <c r="VPV9" s="93">
        <v>2.1</v>
      </c>
      <c r="VPW9" s="93">
        <v>2.1</v>
      </c>
      <c r="VRB9" s="93">
        <v>2.1</v>
      </c>
      <c r="VRC9" s="93">
        <v>2.1</v>
      </c>
      <c r="VSH9" s="93">
        <v>2.1</v>
      </c>
      <c r="VSI9" s="93">
        <v>2.1</v>
      </c>
      <c r="VTN9" s="93">
        <v>2.1</v>
      </c>
      <c r="VTO9" s="93">
        <v>2.1</v>
      </c>
      <c r="VUT9" s="93">
        <v>2.1</v>
      </c>
      <c r="VUU9" s="93">
        <v>2.1</v>
      </c>
      <c r="VVZ9" s="93">
        <v>2.1</v>
      </c>
      <c r="VWA9" s="93">
        <v>2.1</v>
      </c>
      <c r="VXF9" s="93">
        <v>2.1</v>
      </c>
      <c r="VXG9" s="93">
        <v>2.1</v>
      </c>
      <c r="VYL9" s="93">
        <v>2.1</v>
      </c>
      <c r="VYM9" s="93">
        <v>2.1</v>
      </c>
      <c r="VZR9" s="93">
        <v>2.1</v>
      </c>
      <c r="VZS9" s="93">
        <v>2.1</v>
      </c>
      <c r="WAX9" s="93">
        <v>2.1</v>
      </c>
      <c r="WAY9" s="93">
        <v>2.1</v>
      </c>
      <c r="WCD9" s="93">
        <v>2.1</v>
      </c>
      <c r="WCE9" s="93">
        <v>2.1</v>
      </c>
      <c r="WDJ9" s="93">
        <v>2.1</v>
      </c>
      <c r="WDK9" s="93">
        <v>2.1</v>
      </c>
      <c r="WEP9" s="93">
        <v>2.1</v>
      </c>
      <c r="WEQ9" s="93">
        <v>2.1</v>
      </c>
      <c r="WFV9" s="93">
        <v>2.1</v>
      </c>
      <c r="WFW9" s="93">
        <v>2.1</v>
      </c>
      <c r="WHB9" s="93">
        <v>2.1</v>
      </c>
      <c r="WHC9" s="93">
        <v>2.1</v>
      </c>
      <c r="WIH9" s="93">
        <v>2.1</v>
      </c>
      <c r="WII9" s="93">
        <v>2.1</v>
      </c>
      <c r="WJN9" s="93">
        <v>2.1</v>
      </c>
      <c r="WJO9" s="93">
        <v>2.1</v>
      </c>
      <c r="WKT9" s="93">
        <v>2.1</v>
      </c>
      <c r="WKU9" s="93">
        <v>2.1</v>
      </c>
      <c r="WLZ9" s="93">
        <v>2.1</v>
      </c>
      <c r="WMA9" s="93">
        <v>2.1</v>
      </c>
      <c r="WNF9" s="93">
        <v>2.1</v>
      </c>
      <c r="WNG9" s="93">
        <v>2.1</v>
      </c>
      <c r="WOL9" s="93">
        <v>2.1</v>
      </c>
      <c r="WOM9" s="93">
        <v>2.1</v>
      </c>
      <c r="WPR9" s="93">
        <v>2.1</v>
      </c>
      <c r="WPS9" s="93">
        <v>2.1</v>
      </c>
      <c r="WQX9" s="93">
        <v>2.1</v>
      </c>
      <c r="WQY9" s="93">
        <v>2.1</v>
      </c>
      <c r="WSD9" s="93">
        <v>2.1</v>
      </c>
      <c r="WSE9" s="93">
        <v>2.1</v>
      </c>
      <c r="WTJ9" s="93">
        <v>2.1</v>
      </c>
      <c r="WTK9" s="93">
        <v>2.1</v>
      </c>
      <c r="WUP9" s="93">
        <v>2.1</v>
      </c>
      <c r="WUQ9" s="93">
        <v>2.1</v>
      </c>
      <c r="WVV9" s="93">
        <v>2.1</v>
      </c>
      <c r="WVW9" s="93">
        <v>2.1</v>
      </c>
      <c r="WXB9" s="93">
        <v>2.1</v>
      </c>
      <c r="WXC9" s="93">
        <v>2.1</v>
      </c>
      <c r="WYH9" s="93">
        <v>2.1</v>
      </c>
      <c r="WYI9" s="93">
        <v>2.1</v>
      </c>
      <c r="WZN9" s="93">
        <v>2.1</v>
      </c>
      <c r="WZO9" s="93">
        <v>2.1</v>
      </c>
      <c r="XAT9" s="93">
        <v>2.1</v>
      </c>
      <c r="XAU9" s="93">
        <v>2.1</v>
      </c>
      <c r="XBZ9" s="93">
        <v>2.1</v>
      </c>
      <c r="XCA9" s="93">
        <v>2.1</v>
      </c>
      <c r="XDF9" s="93">
        <v>2.1</v>
      </c>
      <c r="XDG9" s="93">
        <v>2.1</v>
      </c>
      <c r="XEL9" s="93">
        <v>2.1</v>
      </c>
      <c r="XEM9" s="93">
        <v>2.1</v>
      </c>
    </row>
    <row r="10" spans="2:1007 1026:2031 2050:3055 3074:4079 4098:5103 5122:6127 6146:7151 7170:8175 8194:9199 9218:10223 10242:11247 11266:12271 12290:13295 13314:14319 14338:15343 15362:16367" s="94" customFormat="1">
      <c r="C10" s="94" t="s">
        <v>133</v>
      </c>
      <c r="L10" s="112"/>
      <c r="M10" s="112"/>
      <c r="N10" s="112"/>
      <c r="O10" s="112"/>
      <c r="P10" s="112"/>
      <c r="Q10" s="112"/>
      <c r="AI10" s="94" t="s">
        <v>133</v>
      </c>
      <c r="AT10" s="93">
        <v>1.5</v>
      </c>
      <c r="AU10" s="93">
        <v>1.9</v>
      </c>
      <c r="BO10" s="94" t="s">
        <v>133</v>
      </c>
      <c r="BZ10" s="93">
        <v>1.5</v>
      </c>
      <c r="CA10" s="93">
        <v>1.9</v>
      </c>
      <c r="CU10" s="94" t="s">
        <v>133</v>
      </c>
      <c r="DF10" s="93">
        <v>1.5</v>
      </c>
      <c r="DG10" s="93">
        <v>1.9</v>
      </c>
      <c r="EA10" s="94" t="s">
        <v>133</v>
      </c>
      <c r="EL10" s="93">
        <v>1.5</v>
      </c>
      <c r="EM10" s="93">
        <v>1.9</v>
      </c>
      <c r="FG10" s="94" t="s">
        <v>133</v>
      </c>
      <c r="FR10" s="93">
        <v>1.5</v>
      </c>
      <c r="FS10" s="93">
        <v>1.9</v>
      </c>
      <c r="GM10" s="94" t="s">
        <v>133</v>
      </c>
      <c r="GX10" s="93">
        <v>1.5</v>
      </c>
      <c r="GY10" s="93">
        <v>1.9</v>
      </c>
      <c r="HS10" s="94" t="s">
        <v>133</v>
      </c>
      <c r="ID10" s="93">
        <v>1.5</v>
      </c>
      <c r="IE10" s="93">
        <v>1.9</v>
      </c>
      <c r="IY10" s="94" t="s">
        <v>133</v>
      </c>
      <c r="JJ10" s="93">
        <v>1.5</v>
      </c>
      <c r="JK10" s="93">
        <v>1.9</v>
      </c>
      <c r="KE10" s="94" t="s">
        <v>133</v>
      </c>
      <c r="KP10" s="93">
        <v>1.5</v>
      </c>
      <c r="KQ10" s="93">
        <v>1.9</v>
      </c>
      <c r="LK10" s="94" t="s">
        <v>133</v>
      </c>
      <c r="LV10" s="93">
        <v>1.5</v>
      </c>
      <c r="LW10" s="93">
        <v>1.9</v>
      </c>
      <c r="MQ10" s="94" t="s">
        <v>133</v>
      </c>
      <c r="NB10" s="93">
        <v>1.5</v>
      </c>
      <c r="NC10" s="93">
        <v>1.9</v>
      </c>
      <c r="NW10" s="94" t="s">
        <v>133</v>
      </c>
      <c r="OH10" s="93">
        <v>1.5</v>
      </c>
      <c r="OI10" s="93">
        <v>1.9</v>
      </c>
      <c r="PC10" s="94" t="s">
        <v>133</v>
      </c>
      <c r="PN10" s="93">
        <v>1.5</v>
      </c>
      <c r="PO10" s="93">
        <v>1.9</v>
      </c>
      <c r="QI10" s="94" t="s">
        <v>133</v>
      </c>
      <c r="QT10" s="93">
        <v>1.5</v>
      </c>
      <c r="QU10" s="93">
        <v>1.9</v>
      </c>
      <c r="RO10" s="94" t="s">
        <v>133</v>
      </c>
      <c r="RZ10" s="93">
        <v>1.5</v>
      </c>
      <c r="SA10" s="93">
        <v>1.9</v>
      </c>
      <c r="SU10" s="94" t="s">
        <v>133</v>
      </c>
      <c r="TF10" s="93">
        <v>1.5</v>
      </c>
      <c r="TG10" s="93">
        <v>1.9</v>
      </c>
      <c r="UA10" s="94" t="s">
        <v>133</v>
      </c>
      <c r="UL10" s="93">
        <v>1.5</v>
      </c>
      <c r="UM10" s="93">
        <v>1.9</v>
      </c>
      <c r="VG10" s="94" t="s">
        <v>133</v>
      </c>
      <c r="VR10" s="93">
        <v>1.5</v>
      </c>
      <c r="VS10" s="93">
        <v>1.9</v>
      </c>
      <c r="WM10" s="94" t="s">
        <v>133</v>
      </c>
      <c r="WX10" s="93">
        <v>1.5</v>
      </c>
      <c r="WY10" s="93">
        <v>1.9</v>
      </c>
      <c r="XS10" s="94" t="s">
        <v>133</v>
      </c>
      <c r="YD10" s="93">
        <v>1.5</v>
      </c>
      <c r="YE10" s="93">
        <v>1.9</v>
      </c>
      <c r="YY10" s="94" t="s">
        <v>133</v>
      </c>
      <c r="ZJ10" s="93">
        <v>1.5</v>
      </c>
      <c r="ZK10" s="93">
        <v>1.9</v>
      </c>
      <c r="AAE10" s="94" t="s">
        <v>133</v>
      </c>
      <c r="AAP10" s="93">
        <v>1.5</v>
      </c>
      <c r="AAQ10" s="93">
        <v>1.9</v>
      </c>
      <c r="ABK10" s="94" t="s">
        <v>133</v>
      </c>
      <c r="ABV10" s="93">
        <v>1.5</v>
      </c>
      <c r="ABW10" s="93">
        <v>1.9</v>
      </c>
      <c r="ACQ10" s="94" t="s">
        <v>133</v>
      </c>
      <c r="ADB10" s="93">
        <v>1.5</v>
      </c>
      <c r="ADC10" s="93">
        <v>1.9</v>
      </c>
      <c r="ADW10" s="94" t="s">
        <v>133</v>
      </c>
      <c r="AEH10" s="93">
        <v>1.5</v>
      </c>
      <c r="AEI10" s="93">
        <v>1.9</v>
      </c>
      <c r="AFC10" s="94" t="s">
        <v>133</v>
      </c>
      <c r="AFN10" s="93">
        <v>1.5</v>
      </c>
      <c r="AFO10" s="93">
        <v>1.9</v>
      </c>
      <c r="AGI10" s="94" t="s">
        <v>133</v>
      </c>
      <c r="AGT10" s="93">
        <v>1.5</v>
      </c>
      <c r="AGU10" s="93">
        <v>1.9</v>
      </c>
      <c r="AHO10" s="94" t="s">
        <v>133</v>
      </c>
      <c r="AHZ10" s="93">
        <v>1.5</v>
      </c>
      <c r="AIA10" s="93">
        <v>1.9</v>
      </c>
      <c r="AIU10" s="94" t="s">
        <v>133</v>
      </c>
      <c r="AJF10" s="93">
        <v>1.5</v>
      </c>
      <c r="AJG10" s="93">
        <v>1.9</v>
      </c>
      <c r="AKA10" s="94" t="s">
        <v>133</v>
      </c>
      <c r="AKL10" s="93">
        <v>1.5</v>
      </c>
      <c r="AKM10" s="93">
        <v>1.9</v>
      </c>
      <c r="ALG10" s="94" t="s">
        <v>133</v>
      </c>
      <c r="ALR10" s="93">
        <v>1.5</v>
      </c>
      <c r="ALS10" s="93">
        <v>1.9</v>
      </c>
      <c r="AMM10" s="94" t="s">
        <v>133</v>
      </c>
      <c r="AMX10" s="93">
        <v>1.5</v>
      </c>
      <c r="AMY10" s="93">
        <v>1.9</v>
      </c>
      <c r="ANS10" s="94" t="s">
        <v>133</v>
      </c>
      <c r="AOD10" s="93">
        <v>1.5</v>
      </c>
      <c r="AOE10" s="93">
        <v>1.9</v>
      </c>
      <c r="AOY10" s="94" t="s">
        <v>133</v>
      </c>
      <c r="APJ10" s="93">
        <v>1.5</v>
      </c>
      <c r="APK10" s="93">
        <v>1.9</v>
      </c>
      <c r="AQE10" s="94" t="s">
        <v>133</v>
      </c>
      <c r="AQP10" s="93">
        <v>1.5</v>
      </c>
      <c r="AQQ10" s="93">
        <v>1.9</v>
      </c>
      <c r="ARK10" s="94" t="s">
        <v>133</v>
      </c>
      <c r="ARV10" s="93">
        <v>1.5</v>
      </c>
      <c r="ARW10" s="93">
        <v>1.9</v>
      </c>
      <c r="ASQ10" s="94" t="s">
        <v>133</v>
      </c>
      <c r="ATB10" s="93">
        <v>1.5</v>
      </c>
      <c r="ATC10" s="93">
        <v>1.9</v>
      </c>
      <c r="ATW10" s="94" t="s">
        <v>133</v>
      </c>
      <c r="AUH10" s="93">
        <v>1.5</v>
      </c>
      <c r="AUI10" s="93">
        <v>1.9</v>
      </c>
      <c r="AVC10" s="94" t="s">
        <v>133</v>
      </c>
      <c r="AVN10" s="93">
        <v>1.5</v>
      </c>
      <c r="AVO10" s="93">
        <v>1.9</v>
      </c>
      <c r="AWI10" s="94" t="s">
        <v>133</v>
      </c>
      <c r="AWT10" s="93">
        <v>1.5</v>
      </c>
      <c r="AWU10" s="93">
        <v>1.9</v>
      </c>
      <c r="AXO10" s="94" t="s">
        <v>133</v>
      </c>
      <c r="AXZ10" s="93">
        <v>1.5</v>
      </c>
      <c r="AYA10" s="93">
        <v>1.9</v>
      </c>
      <c r="AYU10" s="94" t="s">
        <v>133</v>
      </c>
      <c r="AZF10" s="93">
        <v>1.5</v>
      </c>
      <c r="AZG10" s="93">
        <v>1.9</v>
      </c>
      <c r="BAA10" s="94" t="s">
        <v>133</v>
      </c>
      <c r="BAL10" s="93">
        <v>1.5</v>
      </c>
      <c r="BAM10" s="93">
        <v>1.9</v>
      </c>
      <c r="BBG10" s="94" t="s">
        <v>133</v>
      </c>
      <c r="BBR10" s="93">
        <v>1.5</v>
      </c>
      <c r="BBS10" s="93">
        <v>1.9</v>
      </c>
      <c r="BCM10" s="94" t="s">
        <v>133</v>
      </c>
      <c r="BCX10" s="93">
        <v>1.5</v>
      </c>
      <c r="BCY10" s="93">
        <v>1.9</v>
      </c>
      <c r="BDS10" s="94" t="s">
        <v>133</v>
      </c>
      <c r="BED10" s="93">
        <v>1.5</v>
      </c>
      <c r="BEE10" s="93">
        <v>1.9</v>
      </c>
      <c r="BEY10" s="94" t="s">
        <v>133</v>
      </c>
      <c r="BFJ10" s="93">
        <v>1.5</v>
      </c>
      <c r="BFK10" s="93">
        <v>1.9</v>
      </c>
      <c r="BGE10" s="94" t="s">
        <v>133</v>
      </c>
      <c r="BGP10" s="93">
        <v>1.5</v>
      </c>
      <c r="BGQ10" s="93">
        <v>1.9</v>
      </c>
      <c r="BHK10" s="94" t="s">
        <v>133</v>
      </c>
      <c r="BHV10" s="93">
        <v>1.5</v>
      </c>
      <c r="BHW10" s="93">
        <v>1.9</v>
      </c>
      <c r="BIQ10" s="94" t="s">
        <v>133</v>
      </c>
      <c r="BJB10" s="93">
        <v>1.5</v>
      </c>
      <c r="BJC10" s="93">
        <v>1.9</v>
      </c>
      <c r="BJW10" s="94" t="s">
        <v>133</v>
      </c>
      <c r="BKH10" s="93">
        <v>1.5</v>
      </c>
      <c r="BKI10" s="93">
        <v>1.9</v>
      </c>
      <c r="BLC10" s="94" t="s">
        <v>133</v>
      </c>
      <c r="BLN10" s="93">
        <v>1.5</v>
      </c>
      <c r="BLO10" s="93">
        <v>1.9</v>
      </c>
      <c r="BMI10" s="94" t="s">
        <v>133</v>
      </c>
      <c r="BMT10" s="93">
        <v>1.5</v>
      </c>
      <c r="BMU10" s="93">
        <v>1.9</v>
      </c>
      <c r="BNO10" s="94" t="s">
        <v>133</v>
      </c>
      <c r="BNZ10" s="93">
        <v>1.5</v>
      </c>
      <c r="BOA10" s="93">
        <v>1.9</v>
      </c>
      <c r="BOU10" s="94" t="s">
        <v>133</v>
      </c>
      <c r="BPF10" s="93">
        <v>1.5</v>
      </c>
      <c r="BPG10" s="93">
        <v>1.9</v>
      </c>
      <c r="BQA10" s="94" t="s">
        <v>133</v>
      </c>
      <c r="BQL10" s="93">
        <v>1.5</v>
      </c>
      <c r="BQM10" s="93">
        <v>1.9</v>
      </c>
      <c r="BRG10" s="94" t="s">
        <v>133</v>
      </c>
      <c r="BRR10" s="93">
        <v>1.5</v>
      </c>
      <c r="BRS10" s="93">
        <v>1.9</v>
      </c>
      <c r="BSM10" s="94" t="s">
        <v>133</v>
      </c>
      <c r="BSX10" s="93">
        <v>1.5</v>
      </c>
      <c r="BSY10" s="93">
        <v>1.9</v>
      </c>
      <c r="BTS10" s="94" t="s">
        <v>133</v>
      </c>
      <c r="BUD10" s="93">
        <v>1.5</v>
      </c>
      <c r="BUE10" s="93">
        <v>1.9</v>
      </c>
      <c r="BUY10" s="94" t="s">
        <v>133</v>
      </c>
      <c r="BVJ10" s="93">
        <v>1.5</v>
      </c>
      <c r="BVK10" s="93">
        <v>1.9</v>
      </c>
      <c r="BWE10" s="94" t="s">
        <v>133</v>
      </c>
      <c r="BWP10" s="93">
        <v>1.5</v>
      </c>
      <c r="BWQ10" s="93">
        <v>1.9</v>
      </c>
      <c r="BXK10" s="94" t="s">
        <v>133</v>
      </c>
      <c r="BXV10" s="93">
        <v>1.5</v>
      </c>
      <c r="BXW10" s="93">
        <v>1.9</v>
      </c>
      <c r="BYQ10" s="94" t="s">
        <v>133</v>
      </c>
      <c r="BZB10" s="93">
        <v>1.5</v>
      </c>
      <c r="BZC10" s="93">
        <v>1.9</v>
      </c>
      <c r="BZW10" s="94" t="s">
        <v>133</v>
      </c>
      <c r="CAH10" s="93">
        <v>1.5</v>
      </c>
      <c r="CAI10" s="93">
        <v>1.9</v>
      </c>
      <c r="CBC10" s="94" t="s">
        <v>133</v>
      </c>
      <c r="CBN10" s="93">
        <v>1.5</v>
      </c>
      <c r="CBO10" s="93">
        <v>1.9</v>
      </c>
      <c r="CCI10" s="94" t="s">
        <v>133</v>
      </c>
      <c r="CCT10" s="93">
        <v>1.5</v>
      </c>
      <c r="CCU10" s="93">
        <v>1.9</v>
      </c>
      <c r="CDO10" s="94" t="s">
        <v>133</v>
      </c>
      <c r="CDZ10" s="93">
        <v>1.5</v>
      </c>
      <c r="CEA10" s="93">
        <v>1.9</v>
      </c>
      <c r="CEU10" s="94" t="s">
        <v>133</v>
      </c>
      <c r="CFF10" s="93">
        <v>1.5</v>
      </c>
      <c r="CFG10" s="93">
        <v>1.9</v>
      </c>
      <c r="CGA10" s="94" t="s">
        <v>133</v>
      </c>
      <c r="CGL10" s="93">
        <v>1.5</v>
      </c>
      <c r="CGM10" s="93">
        <v>1.9</v>
      </c>
      <c r="CHG10" s="94" t="s">
        <v>133</v>
      </c>
      <c r="CHR10" s="93">
        <v>1.5</v>
      </c>
      <c r="CHS10" s="93">
        <v>1.9</v>
      </c>
      <c r="CIM10" s="94" t="s">
        <v>133</v>
      </c>
      <c r="CIX10" s="93">
        <v>1.5</v>
      </c>
      <c r="CIY10" s="93">
        <v>1.9</v>
      </c>
      <c r="CJS10" s="94" t="s">
        <v>133</v>
      </c>
      <c r="CKD10" s="93">
        <v>1.5</v>
      </c>
      <c r="CKE10" s="93">
        <v>1.9</v>
      </c>
      <c r="CKY10" s="94" t="s">
        <v>133</v>
      </c>
      <c r="CLJ10" s="93">
        <v>1.5</v>
      </c>
      <c r="CLK10" s="93">
        <v>1.9</v>
      </c>
      <c r="CME10" s="94" t="s">
        <v>133</v>
      </c>
      <c r="CMP10" s="93">
        <v>1.5</v>
      </c>
      <c r="CMQ10" s="93">
        <v>1.9</v>
      </c>
      <c r="CNK10" s="94" t="s">
        <v>133</v>
      </c>
      <c r="CNV10" s="93">
        <v>1.5</v>
      </c>
      <c r="CNW10" s="93">
        <v>1.9</v>
      </c>
      <c r="COQ10" s="94" t="s">
        <v>133</v>
      </c>
      <c r="CPB10" s="93">
        <v>1.5</v>
      </c>
      <c r="CPC10" s="93">
        <v>1.9</v>
      </c>
      <c r="CPW10" s="94" t="s">
        <v>133</v>
      </c>
      <c r="CQH10" s="93">
        <v>1.5</v>
      </c>
      <c r="CQI10" s="93">
        <v>1.9</v>
      </c>
      <c r="CRC10" s="94" t="s">
        <v>133</v>
      </c>
      <c r="CRN10" s="93">
        <v>1.5</v>
      </c>
      <c r="CRO10" s="93">
        <v>1.9</v>
      </c>
      <c r="CSI10" s="94" t="s">
        <v>133</v>
      </c>
      <c r="CST10" s="93">
        <v>1.5</v>
      </c>
      <c r="CSU10" s="93">
        <v>1.9</v>
      </c>
      <c r="CTO10" s="94" t="s">
        <v>133</v>
      </c>
      <c r="CTZ10" s="93">
        <v>1.5</v>
      </c>
      <c r="CUA10" s="93">
        <v>1.9</v>
      </c>
      <c r="CUU10" s="94" t="s">
        <v>133</v>
      </c>
      <c r="CVF10" s="93">
        <v>1.5</v>
      </c>
      <c r="CVG10" s="93">
        <v>1.9</v>
      </c>
      <c r="CWA10" s="94" t="s">
        <v>133</v>
      </c>
      <c r="CWL10" s="93">
        <v>1.5</v>
      </c>
      <c r="CWM10" s="93">
        <v>1.9</v>
      </c>
      <c r="CXG10" s="94" t="s">
        <v>133</v>
      </c>
      <c r="CXR10" s="93">
        <v>1.5</v>
      </c>
      <c r="CXS10" s="93">
        <v>1.9</v>
      </c>
      <c r="CYM10" s="94" t="s">
        <v>133</v>
      </c>
      <c r="CYX10" s="93">
        <v>1.5</v>
      </c>
      <c r="CYY10" s="93">
        <v>1.9</v>
      </c>
      <c r="CZS10" s="94" t="s">
        <v>133</v>
      </c>
      <c r="DAD10" s="93">
        <v>1.5</v>
      </c>
      <c r="DAE10" s="93">
        <v>1.9</v>
      </c>
      <c r="DAY10" s="94" t="s">
        <v>133</v>
      </c>
      <c r="DBJ10" s="93">
        <v>1.5</v>
      </c>
      <c r="DBK10" s="93">
        <v>1.9</v>
      </c>
      <c r="DCE10" s="94" t="s">
        <v>133</v>
      </c>
      <c r="DCP10" s="93">
        <v>1.5</v>
      </c>
      <c r="DCQ10" s="93">
        <v>1.9</v>
      </c>
      <c r="DDK10" s="94" t="s">
        <v>133</v>
      </c>
      <c r="DDV10" s="93">
        <v>1.5</v>
      </c>
      <c r="DDW10" s="93">
        <v>1.9</v>
      </c>
      <c r="DEQ10" s="94" t="s">
        <v>133</v>
      </c>
      <c r="DFB10" s="93">
        <v>1.5</v>
      </c>
      <c r="DFC10" s="93">
        <v>1.9</v>
      </c>
      <c r="DFW10" s="94" t="s">
        <v>133</v>
      </c>
      <c r="DGH10" s="93">
        <v>1.5</v>
      </c>
      <c r="DGI10" s="93">
        <v>1.9</v>
      </c>
      <c r="DHC10" s="94" t="s">
        <v>133</v>
      </c>
      <c r="DHN10" s="93">
        <v>1.5</v>
      </c>
      <c r="DHO10" s="93">
        <v>1.9</v>
      </c>
      <c r="DII10" s="94" t="s">
        <v>133</v>
      </c>
      <c r="DIT10" s="93">
        <v>1.5</v>
      </c>
      <c r="DIU10" s="93">
        <v>1.9</v>
      </c>
      <c r="DJO10" s="94" t="s">
        <v>133</v>
      </c>
      <c r="DJZ10" s="93">
        <v>1.5</v>
      </c>
      <c r="DKA10" s="93">
        <v>1.9</v>
      </c>
      <c r="DKU10" s="94" t="s">
        <v>133</v>
      </c>
      <c r="DLF10" s="93">
        <v>1.5</v>
      </c>
      <c r="DLG10" s="93">
        <v>1.9</v>
      </c>
      <c r="DMA10" s="94" t="s">
        <v>133</v>
      </c>
      <c r="DML10" s="93">
        <v>1.5</v>
      </c>
      <c r="DMM10" s="93">
        <v>1.9</v>
      </c>
      <c r="DNG10" s="94" t="s">
        <v>133</v>
      </c>
      <c r="DNR10" s="93">
        <v>1.5</v>
      </c>
      <c r="DNS10" s="93">
        <v>1.9</v>
      </c>
      <c r="DOM10" s="94" t="s">
        <v>133</v>
      </c>
      <c r="DOX10" s="93">
        <v>1.5</v>
      </c>
      <c r="DOY10" s="93">
        <v>1.9</v>
      </c>
      <c r="DPS10" s="94" t="s">
        <v>133</v>
      </c>
      <c r="DQD10" s="93">
        <v>1.5</v>
      </c>
      <c r="DQE10" s="93">
        <v>1.9</v>
      </c>
      <c r="DQY10" s="94" t="s">
        <v>133</v>
      </c>
      <c r="DRJ10" s="93">
        <v>1.5</v>
      </c>
      <c r="DRK10" s="93">
        <v>1.9</v>
      </c>
      <c r="DSE10" s="94" t="s">
        <v>133</v>
      </c>
      <c r="DSP10" s="93">
        <v>1.5</v>
      </c>
      <c r="DSQ10" s="93">
        <v>1.9</v>
      </c>
      <c r="DTK10" s="94" t="s">
        <v>133</v>
      </c>
      <c r="DTV10" s="93">
        <v>1.5</v>
      </c>
      <c r="DTW10" s="93">
        <v>1.9</v>
      </c>
      <c r="DUQ10" s="94" t="s">
        <v>133</v>
      </c>
      <c r="DVB10" s="93">
        <v>1.5</v>
      </c>
      <c r="DVC10" s="93">
        <v>1.9</v>
      </c>
      <c r="DVW10" s="94" t="s">
        <v>133</v>
      </c>
      <c r="DWH10" s="93">
        <v>1.5</v>
      </c>
      <c r="DWI10" s="93">
        <v>1.9</v>
      </c>
      <c r="DXC10" s="94" t="s">
        <v>133</v>
      </c>
      <c r="DXN10" s="93">
        <v>1.5</v>
      </c>
      <c r="DXO10" s="93">
        <v>1.9</v>
      </c>
      <c r="DYI10" s="94" t="s">
        <v>133</v>
      </c>
      <c r="DYT10" s="93">
        <v>1.5</v>
      </c>
      <c r="DYU10" s="93">
        <v>1.9</v>
      </c>
      <c r="DZO10" s="94" t="s">
        <v>133</v>
      </c>
      <c r="DZZ10" s="93">
        <v>1.5</v>
      </c>
      <c r="EAA10" s="93">
        <v>1.9</v>
      </c>
      <c r="EAU10" s="94" t="s">
        <v>133</v>
      </c>
      <c r="EBF10" s="93">
        <v>1.5</v>
      </c>
      <c r="EBG10" s="93">
        <v>1.9</v>
      </c>
      <c r="ECA10" s="94" t="s">
        <v>133</v>
      </c>
      <c r="ECL10" s="93">
        <v>1.5</v>
      </c>
      <c r="ECM10" s="93">
        <v>1.9</v>
      </c>
      <c r="EDG10" s="94" t="s">
        <v>133</v>
      </c>
      <c r="EDR10" s="93">
        <v>1.5</v>
      </c>
      <c r="EDS10" s="93">
        <v>1.9</v>
      </c>
      <c r="EEM10" s="94" t="s">
        <v>133</v>
      </c>
      <c r="EEX10" s="93">
        <v>1.5</v>
      </c>
      <c r="EEY10" s="93">
        <v>1.9</v>
      </c>
      <c r="EFS10" s="94" t="s">
        <v>133</v>
      </c>
      <c r="EGD10" s="93">
        <v>1.5</v>
      </c>
      <c r="EGE10" s="93">
        <v>1.9</v>
      </c>
      <c r="EGY10" s="94" t="s">
        <v>133</v>
      </c>
      <c r="EHJ10" s="93">
        <v>1.5</v>
      </c>
      <c r="EHK10" s="93">
        <v>1.9</v>
      </c>
      <c r="EIE10" s="94" t="s">
        <v>133</v>
      </c>
      <c r="EIP10" s="93">
        <v>1.5</v>
      </c>
      <c r="EIQ10" s="93">
        <v>1.9</v>
      </c>
      <c r="EJK10" s="94" t="s">
        <v>133</v>
      </c>
      <c r="EJV10" s="93">
        <v>1.5</v>
      </c>
      <c r="EJW10" s="93">
        <v>1.9</v>
      </c>
      <c r="EKQ10" s="94" t="s">
        <v>133</v>
      </c>
      <c r="ELB10" s="93">
        <v>1.5</v>
      </c>
      <c r="ELC10" s="93">
        <v>1.9</v>
      </c>
      <c r="ELW10" s="94" t="s">
        <v>133</v>
      </c>
      <c r="EMH10" s="93">
        <v>1.5</v>
      </c>
      <c r="EMI10" s="93">
        <v>1.9</v>
      </c>
      <c r="ENC10" s="94" t="s">
        <v>133</v>
      </c>
      <c r="ENN10" s="93">
        <v>1.5</v>
      </c>
      <c r="ENO10" s="93">
        <v>1.9</v>
      </c>
      <c r="EOI10" s="94" t="s">
        <v>133</v>
      </c>
      <c r="EOT10" s="93">
        <v>1.5</v>
      </c>
      <c r="EOU10" s="93">
        <v>1.9</v>
      </c>
      <c r="EPO10" s="94" t="s">
        <v>133</v>
      </c>
      <c r="EPZ10" s="93">
        <v>1.5</v>
      </c>
      <c r="EQA10" s="93">
        <v>1.9</v>
      </c>
      <c r="EQU10" s="94" t="s">
        <v>133</v>
      </c>
      <c r="ERF10" s="93">
        <v>1.5</v>
      </c>
      <c r="ERG10" s="93">
        <v>1.9</v>
      </c>
      <c r="ESA10" s="94" t="s">
        <v>133</v>
      </c>
      <c r="ESL10" s="93">
        <v>1.5</v>
      </c>
      <c r="ESM10" s="93">
        <v>1.9</v>
      </c>
      <c r="ETG10" s="94" t="s">
        <v>133</v>
      </c>
      <c r="ETR10" s="93">
        <v>1.5</v>
      </c>
      <c r="ETS10" s="93">
        <v>1.9</v>
      </c>
      <c r="EUM10" s="94" t="s">
        <v>133</v>
      </c>
      <c r="EUX10" s="93">
        <v>1.5</v>
      </c>
      <c r="EUY10" s="93">
        <v>1.9</v>
      </c>
      <c r="EVS10" s="94" t="s">
        <v>133</v>
      </c>
      <c r="EWD10" s="93">
        <v>1.5</v>
      </c>
      <c r="EWE10" s="93">
        <v>1.9</v>
      </c>
      <c r="EWY10" s="94" t="s">
        <v>133</v>
      </c>
      <c r="EXJ10" s="93">
        <v>1.5</v>
      </c>
      <c r="EXK10" s="93">
        <v>1.9</v>
      </c>
      <c r="EYE10" s="94" t="s">
        <v>133</v>
      </c>
      <c r="EYP10" s="93">
        <v>1.5</v>
      </c>
      <c r="EYQ10" s="93">
        <v>1.9</v>
      </c>
      <c r="EZK10" s="94" t="s">
        <v>133</v>
      </c>
      <c r="EZV10" s="93">
        <v>1.5</v>
      </c>
      <c r="EZW10" s="93">
        <v>1.9</v>
      </c>
      <c r="FAQ10" s="94" t="s">
        <v>133</v>
      </c>
      <c r="FBB10" s="93">
        <v>1.5</v>
      </c>
      <c r="FBC10" s="93">
        <v>1.9</v>
      </c>
      <c r="FBW10" s="94" t="s">
        <v>133</v>
      </c>
      <c r="FCH10" s="93">
        <v>1.5</v>
      </c>
      <c r="FCI10" s="93">
        <v>1.9</v>
      </c>
      <c r="FDC10" s="94" t="s">
        <v>133</v>
      </c>
      <c r="FDN10" s="93">
        <v>1.5</v>
      </c>
      <c r="FDO10" s="93">
        <v>1.9</v>
      </c>
      <c r="FEI10" s="94" t="s">
        <v>133</v>
      </c>
      <c r="FET10" s="93">
        <v>1.5</v>
      </c>
      <c r="FEU10" s="93">
        <v>1.9</v>
      </c>
      <c r="FFO10" s="94" t="s">
        <v>133</v>
      </c>
      <c r="FFZ10" s="93">
        <v>1.5</v>
      </c>
      <c r="FGA10" s="93">
        <v>1.9</v>
      </c>
      <c r="FGU10" s="94" t="s">
        <v>133</v>
      </c>
      <c r="FHF10" s="93">
        <v>1.5</v>
      </c>
      <c r="FHG10" s="93">
        <v>1.9</v>
      </c>
      <c r="FIA10" s="94" t="s">
        <v>133</v>
      </c>
      <c r="FIL10" s="93">
        <v>1.5</v>
      </c>
      <c r="FIM10" s="93">
        <v>1.9</v>
      </c>
      <c r="FJG10" s="94" t="s">
        <v>133</v>
      </c>
      <c r="FJR10" s="93">
        <v>1.5</v>
      </c>
      <c r="FJS10" s="93">
        <v>1.9</v>
      </c>
      <c r="FKM10" s="94" t="s">
        <v>133</v>
      </c>
      <c r="FKX10" s="93">
        <v>1.5</v>
      </c>
      <c r="FKY10" s="93">
        <v>1.9</v>
      </c>
      <c r="FLS10" s="94" t="s">
        <v>133</v>
      </c>
      <c r="FMD10" s="93">
        <v>1.5</v>
      </c>
      <c r="FME10" s="93">
        <v>1.9</v>
      </c>
      <c r="FMY10" s="94" t="s">
        <v>133</v>
      </c>
      <c r="FNJ10" s="93">
        <v>1.5</v>
      </c>
      <c r="FNK10" s="93">
        <v>1.9</v>
      </c>
      <c r="FOE10" s="94" t="s">
        <v>133</v>
      </c>
      <c r="FOP10" s="93">
        <v>1.5</v>
      </c>
      <c r="FOQ10" s="93">
        <v>1.9</v>
      </c>
      <c r="FPK10" s="94" t="s">
        <v>133</v>
      </c>
      <c r="FPV10" s="93">
        <v>1.5</v>
      </c>
      <c r="FPW10" s="93">
        <v>1.9</v>
      </c>
      <c r="FQQ10" s="94" t="s">
        <v>133</v>
      </c>
      <c r="FRB10" s="93">
        <v>1.5</v>
      </c>
      <c r="FRC10" s="93">
        <v>1.9</v>
      </c>
      <c r="FRW10" s="94" t="s">
        <v>133</v>
      </c>
      <c r="FSH10" s="93">
        <v>1.5</v>
      </c>
      <c r="FSI10" s="93">
        <v>1.9</v>
      </c>
      <c r="FTC10" s="94" t="s">
        <v>133</v>
      </c>
      <c r="FTN10" s="93">
        <v>1.5</v>
      </c>
      <c r="FTO10" s="93">
        <v>1.9</v>
      </c>
      <c r="FUI10" s="94" t="s">
        <v>133</v>
      </c>
      <c r="FUT10" s="93">
        <v>1.5</v>
      </c>
      <c r="FUU10" s="93">
        <v>1.9</v>
      </c>
      <c r="FVO10" s="94" t="s">
        <v>133</v>
      </c>
      <c r="FVZ10" s="93">
        <v>1.5</v>
      </c>
      <c r="FWA10" s="93">
        <v>1.9</v>
      </c>
      <c r="FWU10" s="94" t="s">
        <v>133</v>
      </c>
      <c r="FXF10" s="93">
        <v>1.5</v>
      </c>
      <c r="FXG10" s="93">
        <v>1.9</v>
      </c>
      <c r="FYA10" s="94" t="s">
        <v>133</v>
      </c>
      <c r="FYL10" s="93">
        <v>1.5</v>
      </c>
      <c r="FYM10" s="93">
        <v>1.9</v>
      </c>
      <c r="FZG10" s="94" t="s">
        <v>133</v>
      </c>
      <c r="FZR10" s="93">
        <v>1.5</v>
      </c>
      <c r="FZS10" s="93">
        <v>1.9</v>
      </c>
      <c r="GAM10" s="94" t="s">
        <v>133</v>
      </c>
      <c r="GAX10" s="93">
        <v>1.5</v>
      </c>
      <c r="GAY10" s="93">
        <v>1.9</v>
      </c>
      <c r="GBS10" s="94" t="s">
        <v>133</v>
      </c>
      <c r="GCD10" s="93">
        <v>1.5</v>
      </c>
      <c r="GCE10" s="93">
        <v>1.9</v>
      </c>
      <c r="GCY10" s="94" t="s">
        <v>133</v>
      </c>
      <c r="GDJ10" s="93">
        <v>1.5</v>
      </c>
      <c r="GDK10" s="93">
        <v>1.9</v>
      </c>
      <c r="GEE10" s="94" t="s">
        <v>133</v>
      </c>
      <c r="GEP10" s="93">
        <v>1.5</v>
      </c>
      <c r="GEQ10" s="93">
        <v>1.9</v>
      </c>
      <c r="GFK10" s="94" t="s">
        <v>133</v>
      </c>
      <c r="GFV10" s="93">
        <v>1.5</v>
      </c>
      <c r="GFW10" s="93">
        <v>1.9</v>
      </c>
      <c r="GGQ10" s="94" t="s">
        <v>133</v>
      </c>
      <c r="GHB10" s="93">
        <v>1.5</v>
      </c>
      <c r="GHC10" s="93">
        <v>1.9</v>
      </c>
      <c r="GHW10" s="94" t="s">
        <v>133</v>
      </c>
      <c r="GIH10" s="93">
        <v>1.5</v>
      </c>
      <c r="GII10" s="93">
        <v>1.9</v>
      </c>
      <c r="GJC10" s="94" t="s">
        <v>133</v>
      </c>
      <c r="GJN10" s="93">
        <v>1.5</v>
      </c>
      <c r="GJO10" s="93">
        <v>1.9</v>
      </c>
      <c r="GKI10" s="94" t="s">
        <v>133</v>
      </c>
      <c r="GKT10" s="93">
        <v>1.5</v>
      </c>
      <c r="GKU10" s="93">
        <v>1.9</v>
      </c>
      <c r="GLO10" s="94" t="s">
        <v>133</v>
      </c>
      <c r="GLZ10" s="93">
        <v>1.5</v>
      </c>
      <c r="GMA10" s="93">
        <v>1.9</v>
      </c>
      <c r="GMU10" s="94" t="s">
        <v>133</v>
      </c>
      <c r="GNF10" s="93">
        <v>1.5</v>
      </c>
      <c r="GNG10" s="93">
        <v>1.9</v>
      </c>
      <c r="GOA10" s="94" t="s">
        <v>133</v>
      </c>
      <c r="GOL10" s="93">
        <v>1.5</v>
      </c>
      <c r="GOM10" s="93">
        <v>1.9</v>
      </c>
      <c r="GPG10" s="94" t="s">
        <v>133</v>
      </c>
      <c r="GPR10" s="93">
        <v>1.5</v>
      </c>
      <c r="GPS10" s="93">
        <v>1.9</v>
      </c>
      <c r="GQM10" s="94" t="s">
        <v>133</v>
      </c>
      <c r="GQX10" s="93">
        <v>1.5</v>
      </c>
      <c r="GQY10" s="93">
        <v>1.9</v>
      </c>
      <c r="GRS10" s="94" t="s">
        <v>133</v>
      </c>
      <c r="GSD10" s="93">
        <v>1.5</v>
      </c>
      <c r="GSE10" s="93">
        <v>1.9</v>
      </c>
      <c r="GSY10" s="94" t="s">
        <v>133</v>
      </c>
      <c r="GTJ10" s="93">
        <v>1.5</v>
      </c>
      <c r="GTK10" s="93">
        <v>1.9</v>
      </c>
      <c r="GUE10" s="94" t="s">
        <v>133</v>
      </c>
      <c r="GUP10" s="93">
        <v>1.5</v>
      </c>
      <c r="GUQ10" s="93">
        <v>1.9</v>
      </c>
      <c r="GVK10" s="94" t="s">
        <v>133</v>
      </c>
      <c r="GVV10" s="93">
        <v>1.5</v>
      </c>
      <c r="GVW10" s="93">
        <v>1.9</v>
      </c>
      <c r="GWQ10" s="94" t="s">
        <v>133</v>
      </c>
      <c r="GXB10" s="93">
        <v>1.5</v>
      </c>
      <c r="GXC10" s="93">
        <v>1.9</v>
      </c>
      <c r="GXW10" s="94" t="s">
        <v>133</v>
      </c>
      <c r="GYH10" s="93">
        <v>1.5</v>
      </c>
      <c r="GYI10" s="93">
        <v>1.9</v>
      </c>
      <c r="GZC10" s="94" t="s">
        <v>133</v>
      </c>
      <c r="GZN10" s="93">
        <v>1.5</v>
      </c>
      <c r="GZO10" s="93">
        <v>1.9</v>
      </c>
      <c r="HAI10" s="94" t="s">
        <v>133</v>
      </c>
      <c r="HAT10" s="93">
        <v>1.5</v>
      </c>
      <c r="HAU10" s="93">
        <v>1.9</v>
      </c>
      <c r="HBO10" s="94" t="s">
        <v>133</v>
      </c>
      <c r="HBZ10" s="93">
        <v>1.5</v>
      </c>
      <c r="HCA10" s="93">
        <v>1.9</v>
      </c>
      <c r="HCU10" s="94" t="s">
        <v>133</v>
      </c>
      <c r="HDF10" s="93">
        <v>1.5</v>
      </c>
      <c r="HDG10" s="93">
        <v>1.9</v>
      </c>
      <c r="HEA10" s="94" t="s">
        <v>133</v>
      </c>
      <c r="HEL10" s="93">
        <v>1.5</v>
      </c>
      <c r="HEM10" s="93">
        <v>1.9</v>
      </c>
      <c r="HFG10" s="94" t="s">
        <v>133</v>
      </c>
      <c r="HFR10" s="93">
        <v>1.5</v>
      </c>
      <c r="HFS10" s="93">
        <v>1.9</v>
      </c>
      <c r="HGM10" s="94" t="s">
        <v>133</v>
      </c>
      <c r="HGX10" s="93">
        <v>1.5</v>
      </c>
      <c r="HGY10" s="93">
        <v>1.9</v>
      </c>
      <c r="HHS10" s="94" t="s">
        <v>133</v>
      </c>
      <c r="HID10" s="93">
        <v>1.5</v>
      </c>
      <c r="HIE10" s="93">
        <v>1.9</v>
      </c>
      <c r="HIY10" s="94" t="s">
        <v>133</v>
      </c>
      <c r="HJJ10" s="93">
        <v>1.5</v>
      </c>
      <c r="HJK10" s="93">
        <v>1.9</v>
      </c>
      <c r="HKE10" s="94" t="s">
        <v>133</v>
      </c>
      <c r="HKP10" s="93">
        <v>1.5</v>
      </c>
      <c r="HKQ10" s="93">
        <v>1.9</v>
      </c>
      <c r="HLK10" s="94" t="s">
        <v>133</v>
      </c>
      <c r="HLV10" s="93">
        <v>1.5</v>
      </c>
      <c r="HLW10" s="93">
        <v>1.9</v>
      </c>
      <c r="HMQ10" s="94" t="s">
        <v>133</v>
      </c>
      <c r="HNB10" s="93">
        <v>1.5</v>
      </c>
      <c r="HNC10" s="93">
        <v>1.9</v>
      </c>
      <c r="HNW10" s="94" t="s">
        <v>133</v>
      </c>
      <c r="HOH10" s="93">
        <v>1.5</v>
      </c>
      <c r="HOI10" s="93">
        <v>1.9</v>
      </c>
      <c r="HPC10" s="94" t="s">
        <v>133</v>
      </c>
      <c r="HPN10" s="93">
        <v>1.5</v>
      </c>
      <c r="HPO10" s="93">
        <v>1.9</v>
      </c>
      <c r="HQI10" s="94" t="s">
        <v>133</v>
      </c>
      <c r="HQT10" s="93">
        <v>1.5</v>
      </c>
      <c r="HQU10" s="93">
        <v>1.9</v>
      </c>
      <c r="HRO10" s="94" t="s">
        <v>133</v>
      </c>
      <c r="HRZ10" s="93">
        <v>1.5</v>
      </c>
      <c r="HSA10" s="93">
        <v>1.9</v>
      </c>
      <c r="HSU10" s="94" t="s">
        <v>133</v>
      </c>
      <c r="HTF10" s="93">
        <v>1.5</v>
      </c>
      <c r="HTG10" s="93">
        <v>1.9</v>
      </c>
      <c r="HUA10" s="94" t="s">
        <v>133</v>
      </c>
      <c r="HUL10" s="93">
        <v>1.5</v>
      </c>
      <c r="HUM10" s="93">
        <v>1.9</v>
      </c>
      <c r="HVG10" s="94" t="s">
        <v>133</v>
      </c>
      <c r="HVR10" s="93">
        <v>1.5</v>
      </c>
      <c r="HVS10" s="93">
        <v>1.9</v>
      </c>
      <c r="HWM10" s="94" t="s">
        <v>133</v>
      </c>
      <c r="HWX10" s="93">
        <v>1.5</v>
      </c>
      <c r="HWY10" s="93">
        <v>1.9</v>
      </c>
      <c r="HXS10" s="94" t="s">
        <v>133</v>
      </c>
      <c r="HYD10" s="93">
        <v>1.5</v>
      </c>
      <c r="HYE10" s="93">
        <v>1.9</v>
      </c>
      <c r="HYY10" s="94" t="s">
        <v>133</v>
      </c>
      <c r="HZJ10" s="93">
        <v>1.5</v>
      </c>
      <c r="HZK10" s="93">
        <v>1.9</v>
      </c>
      <c r="IAE10" s="94" t="s">
        <v>133</v>
      </c>
      <c r="IAP10" s="93">
        <v>1.5</v>
      </c>
      <c r="IAQ10" s="93">
        <v>1.9</v>
      </c>
      <c r="IBK10" s="94" t="s">
        <v>133</v>
      </c>
      <c r="IBV10" s="93">
        <v>1.5</v>
      </c>
      <c r="IBW10" s="93">
        <v>1.9</v>
      </c>
      <c r="ICQ10" s="94" t="s">
        <v>133</v>
      </c>
      <c r="IDB10" s="93">
        <v>1.5</v>
      </c>
      <c r="IDC10" s="93">
        <v>1.9</v>
      </c>
      <c r="IDW10" s="94" t="s">
        <v>133</v>
      </c>
      <c r="IEH10" s="93">
        <v>1.5</v>
      </c>
      <c r="IEI10" s="93">
        <v>1.9</v>
      </c>
      <c r="IFC10" s="94" t="s">
        <v>133</v>
      </c>
      <c r="IFN10" s="93">
        <v>1.5</v>
      </c>
      <c r="IFO10" s="93">
        <v>1.9</v>
      </c>
      <c r="IGI10" s="94" t="s">
        <v>133</v>
      </c>
      <c r="IGT10" s="93">
        <v>1.5</v>
      </c>
      <c r="IGU10" s="93">
        <v>1.9</v>
      </c>
      <c r="IHO10" s="94" t="s">
        <v>133</v>
      </c>
      <c r="IHZ10" s="93">
        <v>1.5</v>
      </c>
      <c r="IIA10" s="93">
        <v>1.9</v>
      </c>
      <c r="IIU10" s="94" t="s">
        <v>133</v>
      </c>
      <c r="IJF10" s="93">
        <v>1.5</v>
      </c>
      <c r="IJG10" s="93">
        <v>1.9</v>
      </c>
      <c r="IKA10" s="94" t="s">
        <v>133</v>
      </c>
      <c r="IKL10" s="93">
        <v>1.5</v>
      </c>
      <c r="IKM10" s="93">
        <v>1.9</v>
      </c>
      <c r="ILG10" s="94" t="s">
        <v>133</v>
      </c>
      <c r="ILR10" s="93">
        <v>1.5</v>
      </c>
      <c r="ILS10" s="93">
        <v>1.9</v>
      </c>
      <c r="IMM10" s="94" t="s">
        <v>133</v>
      </c>
      <c r="IMX10" s="93">
        <v>1.5</v>
      </c>
      <c r="IMY10" s="93">
        <v>1.9</v>
      </c>
      <c r="INS10" s="94" t="s">
        <v>133</v>
      </c>
      <c r="IOD10" s="93">
        <v>1.5</v>
      </c>
      <c r="IOE10" s="93">
        <v>1.9</v>
      </c>
      <c r="IOY10" s="94" t="s">
        <v>133</v>
      </c>
      <c r="IPJ10" s="93">
        <v>1.5</v>
      </c>
      <c r="IPK10" s="93">
        <v>1.9</v>
      </c>
      <c r="IQE10" s="94" t="s">
        <v>133</v>
      </c>
      <c r="IQP10" s="93">
        <v>1.5</v>
      </c>
      <c r="IQQ10" s="93">
        <v>1.9</v>
      </c>
      <c r="IRK10" s="94" t="s">
        <v>133</v>
      </c>
      <c r="IRV10" s="93">
        <v>1.5</v>
      </c>
      <c r="IRW10" s="93">
        <v>1.9</v>
      </c>
      <c r="ISQ10" s="94" t="s">
        <v>133</v>
      </c>
      <c r="ITB10" s="93">
        <v>1.5</v>
      </c>
      <c r="ITC10" s="93">
        <v>1.9</v>
      </c>
      <c r="ITW10" s="94" t="s">
        <v>133</v>
      </c>
      <c r="IUH10" s="93">
        <v>1.5</v>
      </c>
      <c r="IUI10" s="93">
        <v>1.9</v>
      </c>
      <c r="IVC10" s="94" t="s">
        <v>133</v>
      </c>
      <c r="IVN10" s="93">
        <v>1.5</v>
      </c>
      <c r="IVO10" s="93">
        <v>1.9</v>
      </c>
      <c r="IWI10" s="94" t="s">
        <v>133</v>
      </c>
      <c r="IWT10" s="93">
        <v>1.5</v>
      </c>
      <c r="IWU10" s="93">
        <v>1.9</v>
      </c>
      <c r="IXO10" s="94" t="s">
        <v>133</v>
      </c>
      <c r="IXZ10" s="93">
        <v>1.5</v>
      </c>
      <c r="IYA10" s="93">
        <v>1.9</v>
      </c>
      <c r="IYU10" s="94" t="s">
        <v>133</v>
      </c>
      <c r="IZF10" s="93">
        <v>1.5</v>
      </c>
      <c r="IZG10" s="93">
        <v>1.9</v>
      </c>
      <c r="JAA10" s="94" t="s">
        <v>133</v>
      </c>
      <c r="JAL10" s="93">
        <v>1.5</v>
      </c>
      <c r="JAM10" s="93">
        <v>1.9</v>
      </c>
      <c r="JBG10" s="94" t="s">
        <v>133</v>
      </c>
      <c r="JBR10" s="93">
        <v>1.5</v>
      </c>
      <c r="JBS10" s="93">
        <v>1.9</v>
      </c>
      <c r="JCM10" s="94" t="s">
        <v>133</v>
      </c>
      <c r="JCX10" s="93">
        <v>1.5</v>
      </c>
      <c r="JCY10" s="93">
        <v>1.9</v>
      </c>
      <c r="JDS10" s="94" t="s">
        <v>133</v>
      </c>
      <c r="JED10" s="93">
        <v>1.5</v>
      </c>
      <c r="JEE10" s="93">
        <v>1.9</v>
      </c>
      <c r="JEY10" s="94" t="s">
        <v>133</v>
      </c>
      <c r="JFJ10" s="93">
        <v>1.5</v>
      </c>
      <c r="JFK10" s="93">
        <v>1.9</v>
      </c>
      <c r="JGE10" s="94" t="s">
        <v>133</v>
      </c>
      <c r="JGP10" s="93">
        <v>1.5</v>
      </c>
      <c r="JGQ10" s="93">
        <v>1.9</v>
      </c>
      <c r="JHK10" s="94" t="s">
        <v>133</v>
      </c>
      <c r="JHV10" s="93">
        <v>1.5</v>
      </c>
      <c r="JHW10" s="93">
        <v>1.9</v>
      </c>
      <c r="JIQ10" s="94" t="s">
        <v>133</v>
      </c>
      <c r="JJB10" s="93">
        <v>1.5</v>
      </c>
      <c r="JJC10" s="93">
        <v>1.9</v>
      </c>
      <c r="JJW10" s="94" t="s">
        <v>133</v>
      </c>
      <c r="JKH10" s="93">
        <v>1.5</v>
      </c>
      <c r="JKI10" s="93">
        <v>1.9</v>
      </c>
      <c r="JLC10" s="94" t="s">
        <v>133</v>
      </c>
      <c r="JLN10" s="93">
        <v>1.5</v>
      </c>
      <c r="JLO10" s="93">
        <v>1.9</v>
      </c>
      <c r="JMI10" s="94" t="s">
        <v>133</v>
      </c>
      <c r="JMT10" s="93">
        <v>1.5</v>
      </c>
      <c r="JMU10" s="93">
        <v>1.9</v>
      </c>
      <c r="JNO10" s="94" t="s">
        <v>133</v>
      </c>
      <c r="JNZ10" s="93">
        <v>1.5</v>
      </c>
      <c r="JOA10" s="93">
        <v>1.9</v>
      </c>
      <c r="JOU10" s="94" t="s">
        <v>133</v>
      </c>
      <c r="JPF10" s="93">
        <v>1.5</v>
      </c>
      <c r="JPG10" s="93">
        <v>1.9</v>
      </c>
      <c r="JQA10" s="94" t="s">
        <v>133</v>
      </c>
      <c r="JQL10" s="93">
        <v>1.5</v>
      </c>
      <c r="JQM10" s="93">
        <v>1.9</v>
      </c>
      <c r="JRG10" s="94" t="s">
        <v>133</v>
      </c>
      <c r="JRR10" s="93">
        <v>1.5</v>
      </c>
      <c r="JRS10" s="93">
        <v>1.9</v>
      </c>
      <c r="JSM10" s="94" t="s">
        <v>133</v>
      </c>
      <c r="JSX10" s="93">
        <v>1.5</v>
      </c>
      <c r="JSY10" s="93">
        <v>1.9</v>
      </c>
      <c r="JTS10" s="94" t="s">
        <v>133</v>
      </c>
      <c r="JUD10" s="93">
        <v>1.5</v>
      </c>
      <c r="JUE10" s="93">
        <v>1.9</v>
      </c>
      <c r="JUY10" s="94" t="s">
        <v>133</v>
      </c>
      <c r="JVJ10" s="93">
        <v>1.5</v>
      </c>
      <c r="JVK10" s="93">
        <v>1.9</v>
      </c>
      <c r="JWE10" s="94" t="s">
        <v>133</v>
      </c>
      <c r="JWP10" s="93">
        <v>1.5</v>
      </c>
      <c r="JWQ10" s="93">
        <v>1.9</v>
      </c>
      <c r="JXK10" s="94" t="s">
        <v>133</v>
      </c>
      <c r="JXV10" s="93">
        <v>1.5</v>
      </c>
      <c r="JXW10" s="93">
        <v>1.9</v>
      </c>
      <c r="JYQ10" s="94" t="s">
        <v>133</v>
      </c>
      <c r="JZB10" s="93">
        <v>1.5</v>
      </c>
      <c r="JZC10" s="93">
        <v>1.9</v>
      </c>
      <c r="JZW10" s="94" t="s">
        <v>133</v>
      </c>
      <c r="KAH10" s="93">
        <v>1.5</v>
      </c>
      <c r="KAI10" s="93">
        <v>1.9</v>
      </c>
      <c r="KBC10" s="94" t="s">
        <v>133</v>
      </c>
      <c r="KBN10" s="93">
        <v>1.5</v>
      </c>
      <c r="KBO10" s="93">
        <v>1.9</v>
      </c>
      <c r="KCI10" s="94" t="s">
        <v>133</v>
      </c>
      <c r="KCT10" s="93">
        <v>1.5</v>
      </c>
      <c r="KCU10" s="93">
        <v>1.9</v>
      </c>
      <c r="KDO10" s="94" t="s">
        <v>133</v>
      </c>
      <c r="KDZ10" s="93">
        <v>1.5</v>
      </c>
      <c r="KEA10" s="93">
        <v>1.9</v>
      </c>
      <c r="KEU10" s="94" t="s">
        <v>133</v>
      </c>
      <c r="KFF10" s="93">
        <v>1.5</v>
      </c>
      <c r="KFG10" s="93">
        <v>1.9</v>
      </c>
      <c r="KGA10" s="94" t="s">
        <v>133</v>
      </c>
      <c r="KGL10" s="93">
        <v>1.5</v>
      </c>
      <c r="KGM10" s="93">
        <v>1.9</v>
      </c>
      <c r="KHG10" s="94" t="s">
        <v>133</v>
      </c>
      <c r="KHR10" s="93">
        <v>1.5</v>
      </c>
      <c r="KHS10" s="93">
        <v>1.9</v>
      </c>
      <c r="KIM10" s="94" t="s">
        <v>133</v>
      </c>
      <c r="KIX10" s="93">
        <v>1.5</v>
      </c>
      <c r="KIY10" s="93">
        <v>1.9</v>
      </c>
      <c r="KJS10" s="94" t="s">
        <v>133</v>
      </c>
      <c r="KKD10" s="93">
        <v>1.5</v>
      </c>
      <c r="KKE10" s="93">
        <v>1.9</v>
      </c>
      <c r="KKY10" s="94" t="s">
        <v>133</v>
      </c>
      <c r="KLJ10" s="93">
        <v>1.5</v>
      </c>
      <c r="KLK10" s="93">
        <v>1.9</v>
      </c>
      <c r="KME10" s="94" t="s">
        <v>133</v>
      </c>
      <c r="KMP10" s="93">
        <v>1.5</v>
      </c>
      <c r="KMQ10" s="93">
        <v>1.9</v>
      </c>
      <c r="KNK10" s="94" t="s">
        <v>133</v>
      </c>
      <c r="KNV10" s="93">
        <v>1.5</v>
      </c>
      <c r="KNW10" s="93">
        <v>1.9</v>
      </c>
      <c r="KOQ10" s="94" t="s">
        <v>133</v>
      </c>
      <c r="KPB10" s="93">
        <v>1.5</v>
      </c>
      <c r="KPC10" s="93">
        <v>1.9</v>
      </c>
      <c r="KPW10" s="94" t="s">
        <v>133</v>
      </c>
      <c r="KQH10" s="93">
        <v>1.5</v>
      </c>
      <c r="KQI10" s="93">
        <v>1.9</v>
      </c>
      <c r="KRC10" s="94" t="s">
        <v>133</v>
      </c>
      <c r="KRN10" s="93">
        <v>1.5</v>
      </c>
      <c r="KRO10" s="93">
        <v>1.9</v>
      </c>
      <c r="KSI10" s="94" t="s">
        <v>133</v>
      </c>
      <c r="KST10" s="93">
        <v>1.5</v>
      </c>
      <c r="KSU10" s="93">
        <v>1.9</v>
      </c>
      <c r="KTO10" s="94" t="s">
        <v>133</v>
      </c>
      <c r="KTZ10" s="93">
        <v>1.5</v>
      </c>
      <c r="KUA10" s="93">
        <v>1.9</v>
      </c>
      <c r="KUU10" s="94" t="s">
        <v>133</v>
      </c>
      <c r="KVF10" s="93">
        <v>1.5</v>
      </c>
      <c r="KVG10" s="93">
        <v>1.9</v>
      </c>
      <c r="KWA10" s="94" t="s">
        <v>133</v>
      </c>
      <c r="KWL10" s="93">
        <v>1.5</v>
      </c>
      <c r="KWM10" s="93">
        <v>1.9</v>
      </c>
      <c r="KXG10" s="94" t="s">
        <v>133</v>
      </c>
      <c r="KXR10" s="93">
        <v>1.5</v>
      </c>
      <c r="KXS10" s="93">
        <v>1.9</v>
      </c>
      <c r="KYM10" s="94" t="s">
        <v>133</v>
      </c>
      <c r="KYX10" s="93">
        <v>1.5</v>
      </c>
      <c r="KYY10" s="93">
        <v>1.9</v>
      </c>
      <c r="KZS10" s="94" t="s">
        <v>133</v>
      </c>
      <c r="LAD10" s="93">
        <v>1.5</v>
      </c>
      <c r="LAE10" s="93">
        <v>1.9</v>
      </c>
      <c r="LAY10" s="94" t="s">
        <v>133</v>
      </c>
      <c r="LBJ10" s="93">
        <v>1.5</v>
      </c>
      <c r="LBK10" s="93">
        <v>1.9</v>
      </c>
      <c r="LCE10" s="94" t="s">
        <v>133</v>
      </c>
      <c r="LCP10" s="93">
        <v>1.5</v>
      </c>
      <c r="LCQ10" s="93">
        <v>1.9</v>
      </c>
      <c r="LDK10" s="94" t="s">
        <v>133</v>
      </c>
      <c r="LDV10" s="93">
        <v>1.5</v>
      </c>
      <c r="LDW10" s="93">
        <v>1.9</v>
      </c>
      <c r="LEQ10" s="94" t="s">
        <v>133</v>
      </c>
      <c r="LFB10" s="93">
        <v>1.5</v>
      </c>
      <c r="LFC10" s="93">
        <v>1.9</v>
      </c>
      <c r="LFW10" s="94" t="s">
        <v>133</v>
      </c>
      <c r="LGH10" s="93">
        <v>1.5</v>
      </c>
      <c r="LGI10" s="93">
        <v>1.9</v>
      </c>
      <c r="LHC10" s="94" t="s">
        <v>133</v>
      </c>
      <c r="LHN10" s="93">
        <v>1.5</v>
      </c>
      <c r="LHO10" s="93">
        <v>1.9</v>
      </c>
      <c r="LII10" s="94" t="s">
        <v>133</v>
      </c>
      <c r="LIT10" s="93">
        <v>1.5</v>
      </c>
      <c r="LIU10" s="93">
        <v>1.9</v>
      </c>
      <c r="LJO10" s="94" t="s">
        <v>133</v>
      </c>
      <c r="LJZ10" s="93">
        <v>1.5</v>
      </c>
      <c r="LKA10" s="93">
        <v>1.9</v>
      </c>
      <c r="LKU10" s="94" t="s">
        <v>133</v>
      </c>
      <c r="LLF10" s="93">
        <v>1.5</v>
      </c>
      <c r="LLG10" s="93">
        <v>1.9</v>
      </c>
      <c r="LMA10" s="94" t="s">
        <v>133</v>
      </c>
      <c r="LML10" s="93">
        <v>1.5</v>
      </c>
      <c r="LMM10" s="93">
        <v>1.9</v>
      </c>
      <c r="LNG10" s="94" t="s">
        <v>133</v>
      </c>
      <c r="LNR10" s="93">
        <v>1.5</v>
      </c>
      <c r="LNS10" s="93">
        <v>1.9</v>
      </c>
      <c r="LOM10" s="94" t="s">
        <v>133</v>
      </c>
      <c r="LOX10" s="93">
        <v>1.5</v>
      </c>
      <c r="LOY10" s="93">
        <v>1.9</v>
      </c>
      <c r="LPS10" s="94" t="s">
        <v>133</v>
      </c>
      <c r="LQD10" s="93">
        <v>1.5</v>
      </c>
      <c r="LQE10" s="93">
        <v>1.9</v>
      </c>
      <c r="LQY10" s="94" t="s">
        <v>133</v>
      </c>
      <c r="LRJ10" s="93">
        <v>1.5</v>
      </c>
      <c r="LRK10" s="93">
        <v>1.9</v>
      </c>
      <c r="LSE10" s="94" t="s">
        <v>133</v>
      </c>
      <c r="LSP10" s="93">
        <v>1.5</v>
      </c>
      <c r="LSQ10" s="93">
        <v>1.9</v>
      </c>
      <c r="LTK10" s="94" t="s">
        <v>133</v>
      </c>
      <c r="LTV10" s="93">
        <v>1.5</v>
      </c>
      <c r="LTW10" s="93">
        <v>1.9</v>
      </c>
      <c r="LUQ10" s="94" t="s">
        <v>133</v>
      </c>
      <c r="LVB10" s="93">
        <v>1.5</v>
      </c>
      <c r="LVC10" s="93">
        <v>1.9</v>
      </c>
      <c r="LVW10" s="94" t="s">
        <v>133</v>
      </c>
      <c r="LWH10" s="93">
        <v>1.5</v>
      </c>
      <c r="LWI10" s="93">
        <v>1.9</v>
      </c>
      <c r="LXC10" s="94" t="s">
        <v>133</v>
      </c>
      <c r="LXN10" s="93">
        <v>1.5</v>
      </c>
      <c r="LXO10" s="93">
        <v>1.9</v>
      </c>
      <c r="LYI10" s="94" t="s">
        <v>133</v>
      </c>
      <c r="LYT10" s="93">
        <v>1.5</v>
      </c>
      <c r="LYU10" s="93">
        <v>1.9</v>
      </c>
      <c r="LZO10" s="94" t="s">
        <v>133</v>
      </c>
      <c r="LZZ10" s="93">
        <v>1.5</v>
      </c>
      <c r="MAA10" s="93">
        <v>1.9</v>
      </c>
      <c r="MAU10" s="94" t="s">
        <v>133</v>
      </c>
      <c r="MBF10" s="93">
        <v>1.5</v>
      </c>
      <c r="MBG10" s="93">
        <v>1.9</v>
      </c>
      <c r="MCA10" s="94" t="s">
        <v>133</v>
      </c>
      <c r="MCL10" s="93">
        <v>1.5</v>
      </c>
      <c r="MCM10" s="93">
        <v>1.9</v>
      </c>
      <c r="MDG10" s="94" t="s">
        <v>133</v>
      </c>
      <c r="MDR10" s="93">
        <v>1.5</v>
      </c>
      <c r="MDS10" s="93">
        <v>1.9</v>
      </c>
      <c r="MEM10" s="94" t="s">
        <v>133</v>
      </c>
      <c r="MEX10" s="93">
        <v>1.5</v>
      </c>
      <c r="MEY10" s="93">
        <v>1.9</v>
      </c>
      <c r="MFS10" s="94" t="s">
        <v>133</v>
      </c>
      <c r="MGD10" s="93">
        <v>1.5</v>
      </c>
      <c r="MGE10" s="93">
        <v>1.9</v>
      </c>
      <c r="MGY10" s="94" t="s">
        <v>133</v>
      </c>
      <c r="MHJ10" s="93">
        <v>1.5</v>
      </c>
      <c r="MHK10" s="93">
        <v>1.9</v>
      </c>
      <c r="MIE10" s="94" t="s">
        <v>133</v>
      </c>
      <c r="MIP10" s="93">
        <v>1.5</v>
      </c>
      <c r="MIQ10" s="93">
        <v>1.9</v>
      </c>
      <c r="MJK10" s="94" t="s">
        <v>133</v>
      </c>
      <c r="MJV10" s="93">
        <v>1.5</v>
      </c>
      <c r="MJW10" s="93">
        <v>1.9</v>
      </c>
      <c r="MKQ10" s="94" t="s">
        <v>133</v>
      </c>
      <c r="MLB10" s="93">
        <v>1.5</v>
      </c>
      <c r="MLC10" s="93">
        <v>1.9</v>
      </c>
      <c r="MLW10" s="94" t="s">
        <v>133</v>
      </c>
      <c r="MMH10" s="93">
        <v>1.5</v>
      </c>
      <c r="MMI10" s="93">
        <v>1.9</v>
      </c>
      <c r="MNC10" s="94" t="s">
        <v>133</v>
      </c>
      <c r="MNN10" s="93">
        <v>1.5</v>
      </c>
      <c r="MNO10" s="93">
        <v>1.9</v>
      </c>
      <c r="MOI10" s="94" t="s">
        <v>133</v>
      </c>
      <c r="MOT10" s="93">
        <v>1.5</v>
      </c>
      <c r="MOU10" s="93">
        <v>1.9</v>
      </c>
      <c r="MPO10" s="94" t="s">
        <v>133</v>
      </c>
      <c r="MPZ10" s="93">
        <v>1.5</v>
      </c>
      <c r="MQA10" s="93">
        <v>1.9</v>
      </c>
      <c r="MQU10" s="94" t="s">
        <v>133</v>
      </c>
      <c r="MRF10" s="93">
        <v>1.5</v>
      </c>
      <c r="MRG10" s="93">
        <v>1.9</v>
      </c>
      <c r="MSA10" s="94" t="s">
        <v>133</v>
      </c>
      <c r="MSL10" s="93">
        <v>1.5</v>
      </c>
      <c r="MSM10" s="93">
        <v>1.9</v>
      </c>
      <c r="MTG10" s="94" t="s">
        <v>133</v>
      </c>
      <c r="MTR10" s="93">
        <v>1.5</v>
      </c>
      <c r="MTS10" s="93">
        <v>1.9</v>
      </c>
      <c r="MUM10" s="94" t="s">
        <v>133</v>
      </c>
      <c r="MUX10" s="93">
        <v>1.5</v>
      </c>
      <c r="MUY10" s="93">
        <v>1.9</v>
      </c>
      <c r="MVS10" s="94" t="s">
        <v>133</v>
      </c>
      <c r="MWD10" s="93">
        <v>1.5</v>
      </c>
      <c r="MWE10" s="93">
        <v>1.9</v>
      </c>
      <c r="MWY10" s="94" t="s">
        <v>133</v>
      </c>
      <c r="MXJ10" s="93">
        <v>1.5</v>
      </c>
      <c r="MXK10" s="93">
        <v>1.9</v>
      </c>
      <c r="MYE10" s="94" t="s">
        <v>133</v>
      </c>
      <c r="MYP10" s="93">
        <v>1.5</v>
      </c>
      <c r="MYQ10" s="93">
        <v>1.9</v>
      </c>
      <c r="MZK10" s="94" t="s">
        <v>133</v>
      </c>
      <c r="MZV10" s="93">
        <v>1.5</v>
      </c>
      <c r="MZW10" s="93">
        <v>1.9</v>
      </c>
      <c r="NAQ10" s="94" t="s">
        <v>133</v>
      </c>
      <c r="NBB10" s="93">
        <v>1.5</v>
      </c>
      <c r="NBC10" s="93">
        <v>1.9</v>
      </c>
      <c r="NBW10" s="94" t="s">
        <v>133</v>
      </c>
      <c r="NCH10" s="93">
        <v>1.5</v>
      </c>
      <c r="NCI10" s="93">
        <v>1.9</v>
      </c>
      <c r="NDC10" s="94" t="s">
        <v>133</v>
      </c>
      <c r="NDN10" s="93">
        <v>1.5</v>
      </c>
      <c r="NDO10" s="93">
        <v>1.9</v>
      </c>
      <c r="NEI10" s="94" t="s">
        <v>133</v>
      </c>
      <c r="NET10" s="93">
        <v>1.5</v>
      </c>
      <c r="NEU10" s="93">
        <v>1.9</v>
      </c>
      <c r="NFO10" s="94" t="s">
        <v>133</v>
      </c>
      <c r="NFZ10" s="93">
        <v>1.5</v>
      </c>
      <c r="NGA10" s="93">
        <v>1.9</v>
      </c>
      <c r="NGU10" s="94" t="s">
        <v>133</v>
      </c>
      <c r="NHF10" s="93">
        <v>1.5</v>
      </c>
      <c r="NHG10" s="93">
        <v>1.9</v>
      </c>
      <c r="NIA10" s="94" t="s">
        <v>133</v>
      </c>
      <c r="NIL10" s="93">
        <v>1.5</v>
      </c>
      <c r="NIM10" s="93">
        <v>1.9</v>
      </c>
      <c r="NJG10" s="94" t="s">
        <v>133</v>
      </c>
      <c r="NJR10" s="93">
        <v>1.5</v>
      </c>
      <c r="NJS10" s="93">
        <v>1.9</v>
      </c>
      <c r="NKM10" s="94" t="s">
        <v>133</v>
      </c>
      <c r="NKX10" s="93">
        <v>1.5</v>
      </c>
      <c r="NKY10" s="93">
        <v>1.9</v>
      </c>
      <c r="NLS10" s="94" t="s">
        <v>133</v>
      </c>
      <c r="NMD10" s="93">
        <v>1.5</v>
      </c>
      <c r="NME10" s="93">
        <v>1.9</v>
      </c>
      <c r="NMY10" s="94" t="s">
        <v>133</v>
      </c>
      <c r="NNJ10" s="93">
        <v>1.5</v>
      </c>
      <c r="NNK10" s="93">
        <v>1.9</v>
      </c>
      <c r="NOE10" s="94" t="s">
        <v>133</v>
      </c>
      <c r="NOP10" s="93">
        <v>1.5</v>
      </c>
      <c r="NOQ10" s="93">
        <v>1.9</v>
      </c>
      <c r="NPK10" s="94" t="s">
        <v>133</v>
      </c>
      <c r="NPV10" s="93">
        <v>1.5</v>
      </c>
      <c r="NPW10" s="93">
        <v>1.9</v>
      </c>
      <c r="NQQ10" s="94" t="s">
        <v>133</v>
      </c>
      <c r="NRB10" s="93">
        <v>1.5</v>
      </c>
      <c r="NRC10" s="93">
        <v>1.9</v>
      </c>
      <c r="NRW10" s="94" t="s">
        <v>133</v>
      </c>
      <c r="NSH10" s="93">
        <v>1.5</v>
      </c>
      <c r="NSI10" s="93">
        <v>1.9</v>
      </c>
      <c r="NTC10" s="94" t="s">
        <v>133</v>
      </c>
      <c r="NTN10" s="93">
        <v>1.5</v>
      </c>
      <c r="NTO10" s="93">
        <v>1.9</v>
      </c>
      <c r="NUI10" s="94" t="s">
        <v>133</v>
      </c>
      <c r="NUT10" s="93">
        <v>1.5</v>
      </c>
      <c r="NUU10" s="93">
        <v>1.9</v>
      </c>
      <c r="NVO10" s="94" t="s">
        <v>133</v>
      </c>
      <c r="NVZ10" s="93">
        <v>1.5</v>
      </c>
      <c r="NWA10" s="93">
        <v>1.9</v>
      </c>
      <c r="NWU10" s="94" t="s">
        <v>133</v>
      </c>
      <c r="NXF10" s="93">
        <v>1.5</v>
      </c>
      <c r="NXG10" s="93">
        <v>1.9</v>
      </c>
      <c r="NYA10" s="94" t="s">
        <v>133</v>
      </c>
      <c r="NYL10" s="93">
        <v>1.5</v>
      </c>
      <c r="NYM10" s="93">
        <v>1.9</v>
      </c>
      <c r="NZG10" s="94" t="s">
        <v>133</v>
      </c>
      <c r="NZR10" s="93">
        <v>1.5</v>
      </c>
      <c r="NZS10" s="93">
        <v>1.9</v>
      </c>
      <c r="OAM10" s="94" t="s">
        <v>133</v>
      </c>
      <c r="OAX10" s="93">
        <v>1.5</v>
      </c>
      <c r="OAY10" s="93">
        <v>1.9</v>
      </c>
      <c r="OBS10" s="94" t="s">
        <v>133</v>
      </c>
      <c r="OCD10" s="93">
        <v>1.5</v>
      </c>
      <c r="OCE10" s="93">
        <v>1.9</v>
      </c>
      <c r="OCY10" s="94" t="s">
        <v>133</v>
      </c>
      <c r="ODJ10" s="93">
        <v>1.5</v>
      </c>
      <c r="ODK10" s="93">
        <v>1.9</v>
      </c>
      <c r="OEE10" s="94" t="s">
        <v>133</v>
      </c>
      <c r="OEP10" s="93">
        <v>1.5</v>
      </c>
      <c r="OEQ10" s="93">
        <v>1.9</v>
      </c>
      <c r="OFK10" s="94" t="s">
        <v>133</v>
      </c>
      <c r="OFV10" s="93">
        <v>1.5</v>
      </c>
      <c r="OFW10" s="93">
        <v>1.9</v>
      </c>
      <c r="OGQ10" s="94" t="s">
        <v>133</v>
      </c>
      <c r="OHB10" s="93">
        <v>1.5</v>
      </c>
      <c r="OHC10" s="93">
        <v>1.9</v>
      </c>
      <c r="OHW10" s="94" t="s">
        <v>133</v>
      </c>
      <c r="OIH10" s="93">
        <v>1.5</v>
      </c>
      <c r="OII10" s="93">
        <v>1.9</v>
      </c>
      <c r="OJC10" s="94" t="s">
        <v>133</v>
      </c>
      <c r="OJN10" s="93">
        <v>1.5</v>
      </c>
      <c r="OJO10" s="93">
        <v>1.9</v>
      </c>
      <c r="OKI10" s="94" t="s">
        <v>133</v>
      </c>
      <c r="OKT10" s="93">
        <v>1.5</v>
      </c>
      <c r="OKU10" s="93">
        <v>1.9</v>
      </c>
      <c r="OLO10" s="94" t="s">
        <v>133</v>
      </c>
      <c r="OLZ10" s="93">
        <v>1.5</v>
      </c>
      <c r="OMA10" s="93">
        <v>1.9</v>
      </c>
      <c r="OMU10" s="94" t="s">
        <v>133</v>
      </c>
      <c r="ONF10" s="93">
        <v>1.5</v>
      </c>
      <c r="ONG10" s="93">
        <v>1.9</v>
      </c>
      <c r="OOA10" s="94" t="s">
        <v>133</v>
      </c>
      <c r="OOL10" s="93">
        <v>1.5</v>
      </c>
      <c r="OOM10" s="93">
        <v>1.9</v>
      </c>
      <c r="OPG10" s="94" t="s">
        <v>133</v>
      </c>
      <c r="OPR10" s="93">
        <v>1.5</v>
      </c>
      <c r="OPS10" s="93">
        <v>1.9</v>
      </c>
      <c r="OQM10" s="94" t="s">
        <v>133</v>
      </c>
      <c r="OQX10" s="93">
        <v>1.5</v>
      </c>
      <c r="OQY10" s="93">
        <v>1.9</v>
      </c>
      <c r="ORS10" s="94" t="s">
        <v>133</v>
      </c>
      <c r="OSD10" s="93">
        <v>1.5</v>
      </c>
      <c r="OSE10" s="93">
        <v>1.9</v>
      </c>
      <c r="OSY10" s="94" t="s">
        <v>133</v>
      </c>
      <c r="OTJ10" s="93">
        <v>1.5</v>
      </c>
      <c r="OTK10" s="93">
        <v>1.9</v>
      </c>
      <c r="OUE10" s="94" t="s">
        <v>133</v>
      </c>
      <c r="OUP10" s="93">
        <v>1.5</v>
      </c>
      <c r="OUQ10" s="93">
        <v>1.9</v>
      </c>
      <c r="OVK10" s="94" t="s">
        <v>133</v>
      </c>
      <c r="OVV10" s="93">
        <v>1.5</v>
      </c>
      <c r="OVW10" s="93">
        <v>1.9</v>
      </c>
      <c r="OWQ10" s="94" t="s">
        <v>133</v>
      </c>
      <c r="OXB10" s="93">
        <v>1.5</v>
      </c>
      <c r="OXC10" s="93">
        <v>1.9</v>
      </c>
      <c r="OXW10" s="94" t="s">
        <v>133</v>
      </c>
      <c r="OYH10" s="93">
        <v>1.5</v>
      </c>
      <c r="OYI10" s="93">
        <v>1.9</v>
      </c>
      <c r="OZC10" s="94" t="s">
        <v>133</v>
      </c>
      <c r="OZN10" s="93">
        <v>1.5</v>
      </c>
      <c r="OZO10" s="93">
        <v>1.9</v>
      </c>
      <c r="PAI10" s="94" t="s">
        <v>133</v>
      </c>
      <c r="PAT10" s="93">
        <v>1.5</v>
      </c>
      <c r="PAU10" s="93">
        <v>1.9</v>
      </c>
      <c r="PBO10" s="94" t="s">
        <v>133</v>
      </c>
      <c r="PBZ10" s="93">
        <v>1.5</v>
      </c>
      <c r="PCA10" s="93">
        <v>1.9</v>
      </c>
      <c r="PCU10" s="94" t="s">
        <v>133</v>
      </c>
      <c r="PDF10" s="93">
        <v>1.5</v>
      </c>
      <c r="PDG10" s="93">
        <v>1.9</v>
      </c>
      <c r="PEA10" s="94" t="s">
        <v>133</v>
      </c>
      <c r="PEL10" s="93">
        <v>1.5</v>
      </c>
      <c r="PEM10" s="93">
        <v>1.9</v>
      </c>
      <c r="PFG10" s="94" t="s">
        <v>133</v>
      </c>
      <c r="PFR10" s="93">
        <v>1.5</v>
      </c>
      <c r="PFS10" s="93">
        <v>1.9</v>
      </c>
      <c r="PGM10" s="94" t="s">
        <v>133</v>
      </c>
      <c r="PGX10" s="93">
        <v>1.5</v>
      </c>
      <c r="PGY10" s="93">
        <v>1.9</v>
      </c>
      <c r="PHS10" s="94" t="s">
        <v>133</v>
      </c>
      <c r="PID10" s="93">
        <v>1.5</v>
      </c>
      <c r="PIE10" s="93">
        <v>1.9</v>
      </c>
      <c r="PIY10" s="94" t="s">
        <v>133</v>
      </c>
      <c r="PJJ10" s="93">
        <v>1.5</v>
      </c>
      <c r="PJK10" s="93">
        <v>1.9</v>
      </c>
      <c r="PKE10" s="94" t="s">
        <v>133</v>
      </c>
      <c r="PKP10" s="93">
        <v>1.5</v>
      </c>
      <c r="PKQ10" s="93">
        <v>1.9</v>
      </c>
      <c r="PLK10" s="94" t="s">
        <v>133</v>
      </c>
      <c r="PLV10" s="93">
        <v>1.5</v>
      </c>
      <c r="PLW10" s="93">
        <v>1.9</v>
      </c>
      <c r="PMQ10" s="94" t="s">
        <v>133</v>
      </c>
      <c r="PNB10" s="93">
        <v>1.5</v>
      </c>
      <c r="PNC10" s="93">
        <v>1.9</v>
      </c>
      <c r="PNW10" s="94" t="s">
        <v>133</v>
      </c>
      <c r="POH10" s="93">
        <v>1.5</v>
      </c>
      <c r="POI10" s="93">
        <v>1.9</v>
      </c>
      <c r="PPC10" s="94" t="s">
        <v>133</v>
      </c>
      <c r="PPN10" s="93">
        <v>1.5</v>
      </c>
      <c r="PPO10" s="93">
        <v>1.9</v>
      </c>
      <c r="PQI10" s="94" t="s">
        <v>133</v>
      </c>
      <c r="PQT10" s="93">
        <v>1.5</v>
      </c>
      <c r="PQU10" s="93">
        <v>1.9</v>
      </c>
      <c r="PRO10" s="94" t="s">
        <v>133</v>
      </c>
      <c r="PRZ10" s="93">
        <v>1.5</v>
      </c>
      <c r="PSA10" s="93">
        <v>1.9</v>
      </c>
      <c r="PSU10" s="94" t="s">
        <v>133</v>
      </c>
      <c r="PTF10" s="93">
        <v>1.5</v>
      </c>
      <c r="PTG10" s="93">
        <v>1.9</v>
      </c>
      <c r="PUA10" s="94" t="s">
        <v>133</v>
      </c>
      <c r="PUL10" s="93">
        <v>1.5</v>
      </c>
      <c r="PUM10" s="93">
        <v>1.9</v>
      </c>
      <c r="PVG10" s="94" t="s">
        <v>133</v>
      </c>
      <c r="PVR10" s="93">
        <v>1.5</v>
      </c>
      <c r="PVS10" s="93">
        <v>1.9</v>
      </c>
      <c r="PWM10" s="94" t="s">
        <v>133</v>
      </c>
      <c r="PWX10" s="93">
        <v>1.5</v>
      </c>
      <c r="PWY10" s="93">
        <v>1.9</v>
      </c>
      <c r="PXS10" s="94" t="s">
        <v>133</v>
      </c>
      <c r="PYD10" s="93">
        <v>1.5</v>
      </c>
      <c r="PYE10" s="93">
        <v>1.9</v>
      </c>
      <c r="PYY10" s="94" t="s">
        <v>133</v>
      </c>
      <c r="PZJ10" s="93">
        <v>1.5</v>
      </c>
      <c r="PZK10" s="93">
        <v>1.9</v>
      </c>
      <c r="QAE10" s="94" t="s">
        <v>133</v>
      </c>
      <c r="QAP10" s="93">
        <v>1.5</v>
      </c>
      <c r="QAQ10" s="93">
        <v>1.9</v>
      </c>
      <c r="QBK10" s="94" t="s">
        <v>133</v>
      </c>
      <c r="QBV10" s="93">
        <v>1.5</v>
      </c>
      <c r="QBW10" s="93">
        <v>1.9</v>
      </c>
      <c r="QCQ10" s="94" t="s">
        <v>133</v>
      </c>
      <c r="QDB10" s="93">
        <v>1.5</v>
      </c>
      <c r="QDC10" s="93">
        <v>1.9</v>
      </c>
      <c r="QDW10" s="94" t="s">
        <v>133</v>
      </c>
      <c r="QEH10" s="93">
        <v>1.5</v>
      </c>
      <c r="QEI10" s="93">
        <v>1.9</v>
      </c>
      <c r="QFC10" s="94" t="s">
        <v>133</v>
      </c>
      <c r="QFN10" s="93">
        <v>1.5</v>
      </c>
      <c r="QFO10" s="93">
        <v>1.9</v>
      </c>
      <c r="QGI10" s="94" t="s">
        <v>133</v>
      </c>
      <c r="QGT10" s="93">
        <v>1.5</v>
      </c>
      <c r="QGU10" s="93">
        <v>1.9</v>
      </c>
      <c r="QHO10" s="94" t="s">
        <v>133</v>
      </c>
      <c r="QHZ10" s="93">
        <v>1.5</v>
      </c>
      <c r="QIA10" s="93">
        <v>1.9</v>
      </c>
      <c r="QIU10" s="94" t="s">
        <v>133</v>
      </c>
      <c r="QJF10" s="93">
        <v>1.5</v>
      </c>
      <c r="QJG10" s="93">
        <v>1.9</v>
      </c>
      <c r="QKA10" s="94" t="s">
        <v>133</v>
      </c>
      <c r="QKL10" s="93">
        <v>1.5</v>
      </c>
      <c r="QKM10" s="93">
        <v>1.9</v>
      </c>
      <c r="QLG10" s="94" t="s">
        <v>133</v>
      </c>
      <c r="QLR10" s="93">
        <v>1.5</v>
      </c>
      <c r="QLS10" s="93">
        <v>1.9</v>
      </c>
      <c r="QMM10" s="94" t="s">
        <v>133</v>
      </c>
      <c r="QMX10" s="93">
        <v>1.5</v>
      </c>
      <c r="QMY10" s="93">
        <v>1.9</v>
      </c>
      <c r="QNS10" s="94" t="s">
        <v>133</v>
      </c>
      <c r="QOD10" s="93">
        <v>1.5</v>
      </c>
      <c r="QOE10" s="93">
        <v>1.9</v>
      </c>
      <c r="QOY10" s="94" t="s">
        <v>133</v>
      </c>
      <c r="QPJ10" s="93">
        <v>1.5</v>
      </c>
      <c r="QPK10" s="93">
        <v>1.9</v>
      </c>
      <c r="QQE10" s="94" t="s">
        <v>133</v>
      </c>
      <c r="QQP10" s="93">
        <v>1.5</v>
      </c>
      <c r="QQQ10" s="93">
        <v>1.9</v>
      </c>
      <c r="QRK10" s="94" t="s">
        <v>133</v>
      </c>
      <c r="QRV10" s="93">
        <v>1.5</v>
      </c>
      <c r="QRW10" s="93">
        <v>1.9</v>
      </c>
      <c r="QSQ10" s="94" t="s">
        <v>133</v>
      </c>
      <c r="QTB10" s="93">
        <v>1.5</v>
      </c>
      <c r="QTC10" s="93">
        <v>1.9</v>
      </c>
      <c r="QTW10" s="94" t="s">
        <v>133</v>
      </c>
      <c r="QUH10" s="93">
        <v>1.5</v>
      </c>
      <c r="QUI10" s="93">
        <v>1.9</v>
      </c>
      <c r="QVC10" s="94" t="s">
        <v>133</v>
      </c>
      <c r="QVN10" s="93">
        <v>1.5</v>
      </c>
      <c r="QVO10" s="93">
        <v>1.9</v>
      </c>
      <c r="QWI10" s="94" t="s">
        <v>133</v>
      </c>
      <c r="QWT10" s="93">
        <v>1.5</v>
      </c>
      <c r="QWU10" s="93">
        <v>1.9</v>
      </c>
      <c r="QXO10" s="94" t="s">
        <v>133</v>
      </c>
      <c r="QXZ10" s="93">
        <v>1.5</v>
      </c>
      <c r="QYA10" s="93">
        <v>1.9</v>
      </c>
      <c r="QYU10" s="94" t="s">
        <v>133</v>
      </c>
      <c r="QZF10" s="93">
        <v>1.5</v>
      </c>
      <c r="QZG10" s="93">
        <v>1.9</v>
      </c>
      <c r="RAA10" s="94" t="s">
        <v>133</v>
      </c>
      <c r="RAL10" s="93">
        <v>1.5</v>
      </c>
      <c r="RAM10" s="93">
        <v>1.9</v>
      </c>
      <c r="RBG10" s="94" t="s">
        <v>133</v>
      </c>
      <c r="RBR10" s="93">
        <v>1.5</v>
      </c>
      <c r="RBS10" s="93">
        <v>1.9</v>
      </c>
      <c r="RCM10" s="94" t="s">
        <v>133</v>
      </c>
      <c r="RCX10" s="93">
        <v>1.5</v>
      </c>
      <c r="RCY10" s="93">
        <v>1.9</v>
      </c>
      <c r="RDS10" s="94" t="s">
        <v>133</v>
      </c>
      <c r="RED10" s="93">
        <v>1.5</v>
      </c>
      <c r="REE10" s="93">
        <v>1.9</v>
      </c>
      <c r="REY10" s="94" t="s">
        <v>133</v>
      </c>
      <c r="RFJ10" s="93">
        <v>1.5</v>
      </c>
      <c r="RFK10" s="93">
        <v>1.9</v>
      </c>
      <c r="RGE10" s="94" t="s">
        <v>133</v>
      </c>
      <c r="RGP10" s="93">
        <v>1.5</v>
      </c>
      <c r="RGQ10" s="93">
        <v>1.9</v>
      </c>
      <c r="RHK10" s="94" t="s">
        <v>133</v>
      </c>
      <c r="RHV10" s="93">
        <v>1.5</v>
      </c>
      <c r="RHW10" s="93">
        <v>1.9</v>
      </c>
      <c r="RIQ10" s="94" t="s">
        <v>133</v>
      </c>
      <c r="RJB10" s="93">
        <v>1.5</v>
      </c>
      <c r="RJC10" s="93">
        <v>1.9</v>
      </c>
      <c r="RJW10" s="94" t="s">
        <v>133</v>
      </c>
      <c r="RKH10" s="93">
        <v>1.5</v>
      </c>
      <c r="RKI10" s="93">
        <v>1.9</v>
      </c>
      <c r="RLC10" s="94" t="s">
        <v>133</v>
      </c>
      <c r="RLN10" s="93">
        <v>1.5</v>
      </c>
      <c r="RLO10" s="93">
        <v>1.9</v>
      </c>
      <c r="RMI10" s="94" t="s">
        <v>133</v>
      </c>
      <c r="RMT10" s="93">
        <v>1.5</v>
      </c>
      <c r="RMU10" s="93">
        <v>1.9</v>
      </c>
      <c r="RNO10" s="94" t="s">
        <v>133</v>
      </c>
      <c r="RNZ10" s="93">
        <v>1.5</v>
      </c>
      <c r="ROA10" s="93">
        <v>1.9</v>
      </c>
      <c r="ROU10" s="94" t="s">
        <v>133</v>
      </c>
      <c r="RPF10" s="93">
        <v>1.5</v>
      </c>
      <c r="RPG10" s="93">
        <v>1.9</v>
      </c>
      <c r="RQA10" s="94" t="s">
        <v>133</v>
      </c>
      <c r="RQL10" s="93">
        <v>1.5</v>
      </c>
      <c r="RQM10" s="93">
        <v>1.9</v>
      </c>
      <c r="RRG10" s="94" t="s">
        <v>133</v>
      </c>
      <c r="RRR10" s="93">
        <v>1.5</v>
      </c>
      <c r="RRS10" s="93">
        <v>1.9</v>
      </c>
      <c r="RSM10" s="94" t="s">
        <v>133</v>
      </c>
      <c r="RSX10" s="93">
        <v>1.5</v>
      </c>
      <c r="RSY10" s="93">
        <v>1.9</v>
      </c>
      <c r="RTS10" s="94" t="s">
        <v>133</v>
      </c>
      <c r="RUD10" s="93">
        <v>1.5</v>
      </c>
      <c r="RUE10" s="93">
        <v>1.9</v>
      </c>
      <c r="RUY10" s="94" t="s">
        <v>133</v>
      </c>
      <c r="RVJ10" s="93">
        <v>1.5</v>
      </c>
      <c r="RVK10" s="93">
        <v>1.9</v>
      </c>
      <c r="RWE10" s="94" t="s">
        <v>133</v>
      </c>
      <c r="RWP10" s="93">
        <v>1.5</v>
      </c>
      <c r="RWQ10" s="93">
        <v>1.9</v>
      </c>
      <c r="RXK10" s="94" t="s">
        <v>133</v>
      </c>
      <c r="RXV10" s="93">
        <v>1.5</v>
      </c>
      <c r="RXW10" s="93">
        <v>1.9</v>
      </c>
      <c r="RYQ10" s="94" t="s">
        <v>133</v>
      </c>
      <c r="RZB10" s="93">
        <v>1.5</v>
      </c>
      <c r="RZC10" s="93">
        <v>1.9</v>
      </c>
      <c r="RZW10" s="94" t="s">
        <v>133</v>
      </c>
      <c r="SAH10" s="93">
        <v>1.5</v>
      </c>
      <c r="SAI10" s="93">
        <v>1.9</v>
      </c>
      <c r="SBC10" s="94" t="s">
        <v>133</v>
      </c>
      <c r="SBN10" s="93">
        <v>1.5</v>
      </c>
      <c r="SBO10" s="93">
        <v>1.9</v>
      </c>
      <c r="SCI10" s="94" t="s">
        <v>133</v>
      </c>
      <c r="SCT10" s="93">
        <v>1.5</v>
      </c>
      <c r="SCU10" s="93">
        <v>1.9</v>
      </c>
      <c r="SDO10" s="94" t="s">
        <v>133</v>
      </c>
      <c r="SDZ10" s="93">
        <v>1.5</v>
      </c>
      <c r="SEA10" s="93">
        <v>1.9</v>
      </c>
      <c r="SEU10" s="94" t="s">
        <v>133</v>
      </c>
      <c r="SFF10" s="93">
        <v>1.5</v>
      </c>
      <c r="SFG10" s="93">
        <v>1.9</v>
      </c>
      <c r="SGA10" s="94" t="s">
        <v>133</v>
      </c>
      <c r="SGL10" s="93">
        <v>1.5</v>
      </c>
      <c r="SGM10" s="93">
        <v>1.9</v>
      </c>
      <c r="SHG10" s="94" t="s">
        <v>133</v>
      </c>
      <c r="SHR10" s="93">
        <v>1.5</v>
      </c>
      <c r="SHS10" s="93">
        <v>1.9</v>
      </c>
      <c r="SIM10" s="94" t="s">
        <v>133</v>
      </c>
      <c r="SIX10" s="93">
        <v>1.5</v>
      </c>
      <c r="SIY10" s="93">
        <v>1.9</v>
      </c>
      <c r="SJS10" s="94" t="s">
        <v>133</v>
      </c>
      <c r="SKD10" s="93">
        <v>1.5</v>
      </c>
      <c r="SKE10" s="93">
        <v>1.9</v>
      </c>
      <c r="SKY10" s="94" t="s">
        <v>133</v>
      </c>
      <c r="SLJ10" s="93">
        <v>1.5</v>
      </c>
      <c r="SLK10" s="93">
        <v>1.9</v>
      </c>
      <c r="SME10" s="94" t="s">
        <v>133</v>
      </c>
      <c r="SMP10" s="93">
        <v>1.5</v>
      </c>
      <c r="SMQ10" s="93">
        <v>1.9</v>
      </c>
      <c r="SNK10" s="94" t="s">
        <v>133</v>
      </c>
      <c r="SNV10" s="93">
        <v>1.5</v>
      </c>
      <c r="SNW10" s="93">
        <v>1.9</v>
      </c>
      <c r="SOQ10" s="94" t="s">
        <v>133</v>
      </c>
      <c r="SPB10" s="93">
        <v>1.5</v>
      </c>
      <c r="SPC10" s="93">
        <v>1.9</v>
      </c>
      <c r="SPW10" s="94" t="s">
        <v>133</v>
      </c>
      <c r="SQH10" s="93">
        <v>1.5</v>
      </c>
      <c r="SQI10" s="93">
        <v>1.9</v>
      </c>
      <c r="SRC10" s="94" t="s">
        <v>133</v>
      </c>
      <c r="SRN10" s="93">
        <v>1.5</v>
      </c>
      <c r="SRO10" s="93">
        <v>1.9</v>
      </c>
      <c r="SSI10" s="94" t="s">
        <v>133</v>
      </c>
      <c r="SST10" s="93">
        <v>1.5</v>
      </c>
      <c r="SSU10" s="93">
        <v>1.9</v>
      </c>
      <c r="STO10" s="94" t="s">
        <v>133</v>
      </c>
      <c r="STZ10" s="93">
        <v>1.5</v>
      </c>
      <c r="SUA10" s="93">
        <v>1.9</v>
      </c>
      <c r="SUU10" s="94" t="s">
        <v>133</v>
      </c>
      <c r="SVF10" s="93">
        <v>1.5</v>
      </c>
      <c r="SVG10" s="93">
        <v>1.9</v>
      </c>
      <c r="SWA10" s="94" t="s">
        <v>133</v>
      </c>
      <c r="SWL10" s="93">
        <v>1.5</v>
      </c>
      <c r="SWM10" s="93">
        <v>1.9</v>
      </c>
      <c r="SXG10" s="94" t="s">
        <v>133</v>
      </c>
      <c r="SXR10" s="93">
        <v>1.5</v>
      </c>
      <c r="SXS10" s="93">
        <v>1.9</v>
      </c>
      <c r="SYM10" s="94" t="s">
        <v>133</v>
      </c>
      <c r="SYX10" s="93">
        <v>1.5</v>
      </c>
      <c r="SYY10" s="93">
        <v>1.9</v>
      </c>
      <c r="SZS10" s="94" t="s">
        <v>133</v>
      </c>
      <c r="TAD10" s="93">
        <v>1.5</v>
      </c>
      <c r="TAE10" s="93">
        <v>1.9</v>
      </c>
      <c r="TAY10" s="94" t="s">
        <v>133</v>
      </c>
      <c r="TBJ10" s="93">
        <v>1.5</v>
      </c>
      <c r="TBK10" s="93">
        <v>1.9</v>
      </c>
      <c r="TCE10" s="94" t="s">
        <v>133</v>
      </c>
      <c r="TCP10" s="93">
        <v>1.5</v>
      </c>
      <c r="TCQ10" s="93">
        <v>1.9</v>
      </c>
      <c r="TDK10" s="94" t="s">
        <v>133</v>
      </c>
      <c r="TDV10" s="93">
        <v>1.5</v>
      </c>
      <c r="TDW10" s="93">
        <v>1.9</v>
      </c>
      <c r="TEQ10" s="94" t="s">
        <v>133</v>
      </c>
      <c r="TFB10" s="93">
        <v>1.5</v>
      </c>
      <c r="TFC10" s="93">
        <v>1.9</v>
      </c>
      <c r="TFW10" s="94" t="s">
        <v>133</v>
      </c>
      <c r="TGH10" s="93">
        <v>1.5</v>
      </c>
      <c r="TGI10" s="93">
        <v>1.9</v>
      </c>
      <c r="THC10" s="94" t="s">
        <v>133</v>
      </c>
      <c r="THN10" s="93">
        <v>1.5</v>
      </c>
      <c r="THO10" s="93">
        <v>1.9</v>
      </c>
      <c r="TII10" s="94" t="s">
        <v>133</v>
      </c>
      <c r="TIT10" s="93">
        <v>1.5</v>
      </c>
      <c r="TIU10" s="93">
        <v>1.9</v>
      </c>
      <c r="TJO10" s="94" t="s">
        <v>133</v>
      </c>
      <c r="TJZ10" s="93">
        <v>1.5</v>
      </c>
      <c r="TKA10" s="93">
        <v>1.9</v>
      </c>
      <c r="TKU10" s="94" t="s">
        <v>133</v>
      </c>
      <c r="TLF10" s="93">
        <v>1.5</v>
      </c>
      <c r="TLG10" s="93">
        <v>1.9</v>
      </c>
      <c r="TMA10" s="94" t="s">
        <v>133</v>
      </c>
      <c r="TML10" s="93">
        <v>1.5</v>
      </c>
      <c r="TMM10" s="93">
        <v>1.9</v>
      </c>
      <c r="TNG10" s="94" t="s">
        <v>133</v>
      </c>
      <c r="TNR10" s="93">
        <v>1.5</v>
      </c>
      <c r="TNS10" s="93">
        <v>1.9</v>
      </c>
      <c r="TOM10" s="94" t="s">
        <v>133</v>
      </c>
      <c r="TOX10" s="93">
        <v>1.5</v>
      </c>
      <c r="TOY10" s="93">
        <v>1.9</v>
      </c>
      <c r="TPS10" s="94" t="s">
        <v>133</v>
      </c>
      <c r="TQD10" s="93">
        <v>1.5</v>
      </c>
      <c r="TQE10" s="93">
        <v>1.9</v>
      </c>
      <c r="TQY10" s="94" t="s">
        <v>133</v>
      </c>
      <c r="TRJ10" s="93">
        <v>1.5</v>
      </c>
      <c r="TRK10" s="93">
        <v>1.9</v>
      </c>
      <c r="TSE10" s="94" t="s">
        <v>133</v>
      </c>
      <c r="TSP10" s="93">
        <v>1.5</v>
      </c>
      <c r="TSQ10" s="93">
        <v>1.9</v>
      </c>
      <c r="TTK10" s="94" t="s">
        <v>133</v>
      </c>
      <c r="TTV10" s="93">
        <v>1.5</v>
      </c>
      <c r="TTW10" s="93">
        <v>1.9</v>
      </c>
      <c r="TUQ10" s="94" t="s">
        <v>133</v>
      </c>
      <c r="TVB10" s="93">
        <v>1.5</v>
      </c>
      <c r="TVC10" s="93">
        <v>1.9</v>
      </c>
      <c r="TVW10" s="94" t="s">
        <v>133</v>
      </c>
      <c r="TWH10" s="93">
        <v>1.5</v>
      </c>
      <c r="TWI10" s="93">
        <v>1.9</v>
      </c>
      <c r="TXC10" s="94" t="s">
        <v>133</v>
      </c>
      <c r="TXN10" s="93">
        <v>1.5</v>
      </c>
      <c r="TXO10" s="93">
        <v>1.9</v>
      </c>
      <c r="TYI10" s="94" t="s">
        <v>133</v>
      </c>
      <c r="TYT10" s="93">
        <v>1.5</v>
      </c>
      <c r="TYU10" s="93">
        <v>1.9</v>
      </c>
      <c r="TZO10" s="94" t="s">
        <v>133</v>
      </c>
      <c r="TZZ10" s="93">
        <v>1.5</v>
      </c>
      <c r="UAA10" s="93">
        <v>1.9</v>
      </c>
      <c r="UAU10" s="94" t="s">
        <v>133</v>
      </c>
      <c r="UBF10" s="93">
        <v>1.5</v>
      </c>
      <c r="UBG10" s="93">
        <v>1.9</v>
      </c>
      <c r="UCA10" s="94" t="s">
        <v>133</v>
      </c>
      <c r="UCL10" s="93">
        <v>1.5</v>
      </c>
      <c r="UCM10" s="93">
        <v>1.9</v>
      </c>
      <c r="UDG10" s="94" t="s">
        <v>133</v>
      </c>
      <c r="UDR10" s="93">
        <v>1.5</v>
      </c>
      <c r="UDS10" s="93">
        <v>1.9</v>
      </c>
      <c r="UEM10" s="94" t="s">
        <v>133</v>
      </c>
      <c r="UEX10" s="93">
        <v>1.5</v>
      </c>
      <c r="UEY10" s="93">
        <v>1.9</v>
      </c>
      <c r="UFS10" s="94" t="s">
        <v>133</v>
      </c>
      <c r="UGD10" s="93">
        <v>1.5</v>
      </c>
      <c r="UGE10" s="93">
        <v>1.9</v>
      </c>
      <c r="UGY10" s="94" t="s">
        <v>133</v>
      </c>
      <c r="UHJ10" s="93">
        <v>1.5</v>
      </c>
      <c r="UHK10" s="93">
        <v>1.9</v>
      </c>
      <c r="UIE10" s="94" t="s">
        <v>133</v>
      </c>
      <c r="UIP10" s="93">
        <v>1.5</v>
      </c>
      <c r="UIQ10" s="93">
        <v>1.9</v>
      </c>
      <c r="UJK10" s="94" t="s">
        <v>133</v>
      </c>
      <c r="UJV10" s="93">
        <v>1.5</v>
      </c>
      <c r="UJW10" s="93">
        <v>1.9</v>
      </c>
      <c r="UKQ10" s="94" t="s">
        <v>133</v>
      </c>
      <c r="ULB10" s="93">
        <v>1.5</v>
      </c>
      <c r="ULC10" s="93">
        <v>1.9</v>
      </c>
      <c r="ULW10" s="94" t="s">
        <v>133</v>
      </c>
      <c r="UMH10" s="93">
        <v>1.5</v>
      </c>
      <c r="UMI10" s="93">
        <v>1.9</v>
      </c>
      <c r="UNC10" s="94" t="s">
        <v>133</v>
      </c>
      <c r="UNN10" s="93">
        <v>1.5</v>
      </c>
      <c r="UNO10" s="93">
        <v>1.9</v>
      </c>
      <c r="UOI10" s="94" t="s">
        <v>133</v>
      </c>
      <c r="UOT10" s="93">
        <v>1.5</v>
      </c>
      <c r="UOU10" s="93">
        <v>1.9</v>
      </c>
      <c r="UPO10" s="94" t="s">
        <v>133</v>
      </c>
      <c r="UPZ10" s="93">
        <v>1.5</v>
      </c>
      <c r="UQA10" s="93">
        <v>1.9</v>
      </c>
      <c r="UQU10" s="94" t="s">
        <v>133</v>
      </c>
      <c r="URF10" s="93">
        <v>1.5</v>
      </c>
      <c r="URG10" s="93">
        <v>1.9</v>
      </c>
      <c r="USA10" s="94" t="s">
        <v>133</v>
      </c>
      <c r="USL10" s="93">
        <v>1.5</v>
      </c>
      <c r="USM10" s="93">
        <v>1.9</v>
      </c>
      <c r="UTG10" s="94" t="s">
        <v>133</v>
      </c>
      <c r="UTR10" s="93">
        <v>1.5</v>
      </c>
      <c r="UTS10" s="93">
        <v>1.9</v>
      </c>
      <c r="UUM10" s="94" t="s">
        <v>133</v>
      </c>
      <c r="UUX10" s="93">
        <v>1.5</v>
      </c>
      <c r="UUY10" s="93">
        <v>1.9</v>
      </c>
      <c r="UVS10" s="94" t="s">
        <v>133</v>
      </c>
      <c r="UWD10" s="93">
        <v>1.5</v>
      </c>
      <c r="UWE10" s="93">
        <v>1.9</v>
      </c>
      <c r="UWY10" s="94" t="s">
        <v>133</v>
      </c>
      <c r="UXJ10" s="93">
        <v>1.5</v>
      </c>
      <c r="UXK10" s="93">
        <v>1.9</v>
      </c>
      <c r="UYE10" s="94" t="s">
        <v>133</v>
      </c>
      <c r="UYP10" s="93">
        <v>1.5</v>
      </c>
      <c r="UYQ10" s="93">
        <v>1.9</v>
      </c>
      <c r="UZK10" s="94" t="s">
        <v>133</v>
      </c>
      <c r="UZV10" s="93">
        <v>1.5</v>
      </c>
      <c r="UZW10" s="93">
        <v>1.9</v>
      </c>
      <c r="VAQ10" s="94" t="s">
        <v>133</v>
      </c>
      <c r="VBB10" s="93">
        <v>1.5</v>
      </c>
      <c r="VBC10" s="93">
        <v>1.9</v>
      </c>
      <c r="VBW10" s="94" t="s">
        <v>133</v>
      </c>
      <c r="VCH10" s="93">
        <v>1.5</v>
      </c>
      <c r="VCI10" s="93">
        <v>1.9</v>
      </c>
      <c r="VDC10" s="94" t="s">
        <v>133</v>
      </c>
      <c r="VDN10" s="93">
        <v>1.5</v>
      </c>
      <c r="VDO10" s="93">
        <v>1.9</v>
      </c>
      <c r="VEI10" s="94" t="s">
        <v>133</v>
      </c>
      <c r="VET10" s="93">
        <v>1.5</v>
      </c>
      <c r="VEU10" s="93">
        <v>1.9</v>
      </c>
      <c r="VFO10" s="94" t="s">
        <v>133</v>
      </c>
      <c r="VFZ10" s="93">
        <v>1.5</v>
      </c>
      <c r="VGA10" s="93">
        <v>1.9</v>
      </c>
      <c r="VGU10" s="94" t="s">
        <v>133</v>
      </c>
      <c r="VHF10" s="93">
        <v>1.5</v>
      </c>
      <c r="VHG10" s="93">
        <v>1.9</v>
      </c>
      <c r="VIA10" s="94" t="s">
        <v>133</v>
      </c>
      <c r="VIL10" s="93">
        <v>1.5</v>
      </c>
      <c r="VIM10" s="93">
        <v>1.9</v>
      </c>
      <c r="VJG10" s="94" t="s">
        <v>133</v>
      </c>
      <c r="VJR10" s="93">
        <v>1.5</v>
      </c>
      <c r="VJS10" s="93">
        <v>1.9</v>
      </c>
      <c r="VKM10" s="94" t="s">
        <v>133</v>
      </c>
      <c r="VKX10" s="93">
        <v>1.5</v>
      </c>
      <c r="VKY10" s="93">
        <v>1.9</v>
      </c>
      <c r="VLS10" s="94" t="s">
        <v>133</v>
      </c>
      <c r="VMD10" s="93">
        <v>1.5</v>
      </c>
      <c r="VME10" s="93">
        <v>1.9</v>
      </c>
      <c r="VMY10" s="94" t="s">
        <v>133</v>
      </c>
      <c r="VNJ10" s="93">
        <v>1.5</v>
      </c>
      <c r="VNK10" s="93">
        <v>1.9</v>
      </c>
      <c r="VOE10" s="94" t="s">
        <v>133</v>
      </c>
      <c r="VOP10" s="93">
        <v>1.5</v>
      </c>
      <c r="VOQ10" s="93">
        <v>1.9</v>
      </c>
      <c r="VPK10" s="94" t="s">
        <v>133</v>
      </c>
      <c r="VPV10" s="93">
        <v>1.5</v>
      </c>
      <c r="VPW10" s="93">
        <v>1.9</v>
      </c>
      <c r="VQQ10" s="94" t="s">
        <v>133</v>
      </c>
      <c r="VRB10" s="93">
        <v>1.5</v>
      </c>
      <c r="VRC10" s="93">
        <v>1.9</v>
      </c>
      <c r="VRW10" s="94" t="s">
        <v>133</v>
      </c>
      <c r="VSH10" s="93">
        <v>1.5</v>
      </c>
      <c r="VSI10" s="93">
        <v>1.9</v>
      </c>
      <c r="VTC10" s="94" t="s">
        <v>133</v>
      </c>
      <c r="VTN10" s="93">
        <v>1.5</v>
      </c>
      <c r="VTO10" s="93">
        <v>1.9</v>
      </c>
      <c r="VUI10" s="94" t="s">
        <v>133</v>
      </c>
      <c r="VUT10" s="93">
        <v>1.5</v>
      </c>
      <c r="VUU10" s="93">
        <v>1.9</v>
      </c>
      <c r="VVO10" s="94" t="s">
        <v>133</v>
      </c>
      <c r="VVZ10" s="93">
        <v>1.5</v>
      </c>
      <c r="VWA10" s="93">
        <v>1.9</v>
      </c>
      <c r="VWU10" s="94" t="s">
        <v>133</v>
      </c>
      <c r="VXF10" s="93">
        <v>1.5</v>
      </c>
      <c r="VXG10" s="93">
        <v>1.9</v>
      </c>
      <c r="VYA10" s="94" t="s">
        <v>133</v>
      </c>
      <c r="VYL10" s="93">
        <v>1.5</v>
      </c>
      <c r="VYM10" s="93">
        <v>1.9</v>
      </c>
      <c r="VZG10" s="94" t="s">
        <v>133</v>
      </c>
      <c r="VZR10" s="93">
        <v>1.5</v>
      </c>
      <c r="VZS10" s="93">
        <v>1.9</v>
      </c>
      <c r="WAM10" s="94" t="s">
        <v>133</v>
      </c>
      <c r="WAX10" s="93">
        <v>1.5</v>
      </c>
      <c r="WAY10" s="93">
        <v>1.9</v>
      </c>
      <c r="WBS10" s="94" t="s">
        <v>133</v>
      </c>
      <c r="WCD10" s="93">
        <v>1.5</v>
      </c>
      <c r="WCE10" s="93">
        <v>1.9</v>
      </c>
      <c r="WCY10" s="94" t="s">
        <v>133</v>
      </c>
      <c r="WDJ10" s="93">
        <v>1.5</v>
      </c>
      <c r="WDK10" s="93">
        <v>1.9</v>
      </c>
      <c r="WEE10" s="94" t="s">
        <v>133</v>
      </c>
      <c r="WEP10" s="93">
        <v>1.5</v>
      </c>
      <c r="WEQ10" s="93">
        <v>1.9</v>
      </c>
      <c r="WFK10" s="94" t="s">
        <v>133</v>
      </c>
      <c r="WFV10" s="93">
        <v>1.5</v>
      </c>
      <c r="WFW10" s="93">
        <v>1.9</v>
      </c>
      <c r="WGQ10" s="94" t="s">
        <v>133</v>
      </c>
      <c r="WHB10" s="93">
        <v>1.5</v>
      </c>
      <c r="WHC10" s="93">
        <v>1.9</v>
      </c>
      <c r="WHW10" s="94" t="s">
        <v>133</v>
      </c>
      <c r="WIH10" s="93">
        <v>1.5</v>
      </c>
      <c r="WII10" s="93">
        <v>1.9</v>
      </c>
      <c r="WJC10" s="94" t="s">
        <v>133</v>
      </c>
      <c r="WJN10" s="93">
        <v>1.5</v>
      </c>
      <c r="WJO10" s="93">
        <v>1.9</v>
      </c>
      <c r="WKI10" s="94" t="s">
        <v>133</v>
      </c>
      <c r="WKT10" s="93">
        <v>1.5</v>
      </c>
      <c r="WKU10" s="93">
        <v>1.9</v>
      </c>
      <c r="WLO10" s="94" t="s">
        <v>133</v>
      </c>
      <c r="WLZ10" s="93">
        <v>1.5</v>
      </c>
      <c r="WMA10" s="93">
        <v>1.9</v>
      </c>
      <c r="WMU10" s="94" t="s">
        <v>133</v>
      </c>
      <c r="WNF10" s="93">
        <v>1.5</v>
      </c>
      <c r="WNG10" s="93">
        <v>1.9</v>
      </c>
      <c r="WOA10" s="94" t="s">
        <v>133</v>
      </c>
      <c r="WOL10" s="93">
        <v>1.5</v>
      </c>
      <c r="WOM10" s="93">
        <v>1.9</v>
      </c>
      <c r="WPG10" s="94" t="s">
        <v>133</v>
      </c>
      <c r="WPR10" s="93">
        <v>1.5</v>
      </c>
      <c r="WPS10" s="93">
        <v>1.9</v>
      </c>
      <c r="WQM10" s="94" t="s">
        <v>133</v>
      </c>
      <c r="WQX10" s="93">
        <v>1.5</v>
      </c>
      <c r="WQY10" s="93">
        <v>1.9</v>
      </c>
      <c r="WRS10" s="94" t="s">
        <v>133</v>
      </c>
      <c r="WSD10" s="93">
        <v>1.5</v>
      </c>
      <c r="WSE10" s="93">
        <v>1.9</v>
      </c>
      <c r="WSY10" s="94" t="s">
        <v>133</v>
      </c>
      <c r="WTJ10" s="93">
        <v>1.5</v>
      </c>
      <c r="WTK10" s="93">
        <v>1.9</v>
      </c>
      <c r="WUE10" s="94" t="s">
        <v>133</v>
      </c>
      <c r="WUP10" s="93">
        <v>1.5</v>
      </c>
      <c r="WUQ10" s="93">
        <v>1.9</v>
      </c>
      <c r="WVK10" s="94" t="s">
        <v>133</v>
      </c>
      <c r="WVV10" s="93">
        <v>1.5</v>
      </c>
      <c r="WVW10" s="93">
        <v>1.9</v>
      </c>
      <c r="WWQ10" s="94" t="s">
        <v>133</v>
      </c>
      <c r="WXB10" s="93">
        <v>1.5</v>
      </c>
      <c r="WXC10" s="93">
        <v>1.9</v>
      </c>
      <c r="WXW10" s="94" t="s">
        <v>133</v>
      </c>
      <c r="WYH10" s="93">
        <v>1.5</v>
      </c>
      <c r="WYI10" s="93">
        <v>1.9</v>
      </c>
      <c r="WZC10" s="94" t="s">
        <v>133</v>
      </c>
      <c r="WZN10" s="93">
        <v>1.5</v>
      </c>
      <c r="WZO10" s="93">
        <v>1.9</v>
      </c>
      <c r="XAI10" s="94" t="s">
        <v>133</v>
      </c>
      <c r="XAT10" s="93">
        <v>1.5</v>
      </c>
      <c r="XAU10" s="93">
        <v>1.9</v>
      </c>
      <c r="XBO10" s="94" t="s">
        <v>133</v>
      </c>
      <c r="XBZ10" s="93">
        <v>1.5</v>
      </c>
      <c r="XCA10" s="93">
        <v>1.9</v>
      </c>
      <c r="XCU10" s="94" t="s">
        <v>133</v>
      </c>
      <c r="XDF10" s="93">
        <v>1.5</v>
      </c>
      <c r="XDG10" s="93">
        <v>1.9</v>
      </c>
      <c r="XEA10" s="94" t="s">
        <v>133</v>
      </c>
      <c r="XEL10" s="93">
        <v>1.5</v>
      </c>
      <c r="XEM10" s="93">
        <v>1.9</v>
      </c>
    </row>
    <row r="11" spans="2:1007 1026:2031 2050:3055 3074:4079 4098:5103 5122:6127 6146:7151 7170:8175 8194:9199 9218:10223 10242:11247 11266:12271 12290:13295 13314:14319 14338:15343 15362:16367" s="94" customFormat="1">
      <c r="C11" s="94" t="s">
        <v>141</v>
      </c>
      <c r="L11" s="112"/>
      <c r="M11" s="112"/>
      <c r="N11" s="112"/>
      <c r="O11" s="112"/>
      <c r="P11" s="112"/>
      <c r="Q11" s="112"/>
      <c r="AI11" s="94" t="s">
        <v>141</v>
      </c>
      <c r="AT11" s="93">
        <v>2</v>
      </c>
      <c r="AU11" s="93">
        <v>2.5</v>
      </c>
      <c r="BO11" s="94" t="s">
        <v>141</v>
      </c>
      <c r="BZ11" s="93">
        <v>2</v>
      </c>
      <c r="CA11" s="93">
        <v>2.5</v>
      </c>
      <c r="CU11" s="94" t="s">
        <v>141</v>
      </c>
      <c r="DF11" s="93">
        <v>2</v>
      </c>
      <c r="DG11" s="93">
        <v>2.5</v>
      </c>
      <c r="EA11" s="94" t="s">
        <v>141</v>
      </c>
      <c r="EL11" s="93">
        <v>2</v>
      </c>
      <c r="EM11" s="93">
        <v>2.5</v>
      </c>
      <c r="FG11" s="94" t="s">
        <v>141</v>
      </c>
      <c r="FR11" s="93">
        <v>2</v>
      </c>
      <c r="FS11" s="93">
        <v>2.5</v>
      </c>
      <c r="GM11" s="94" t="s">
        <v>141</v>
      </c>
      <c r="GX11" s="93">
        <v>2</v>
      </c>
      <c r="GY11" s="93">
        <v>2.5</v>
      </c>
      <c r="HS11" s="94" t="s">
        <v>141</v>
      </c>
      <c r="ID11" s="93">
        <v>2</v>
      </c>
      <c r="IE11" s="93">
        <v>2.5</v>
      </c>
      <c r="IY11" s="94" t="s">
        <v>141</v>
      </c>
      <c r="JJ11" s="93">
        <v>2</v>
      </c>
      <c r="JK11" s="93">
        <v>2.5</v>
      </c>
      <c r="KE11" s="94" t="s">
        <v>141</v>
      </c>
      <c r="KP11" s="93">
        <v>2</v>
      </c>
      <c r="KQ11" s="93">
        <v>2.5</v>
      </c>
      <c r="LK11" s="94" t="s">
        <v>141</v>
      </c>
      <c r="LV11" s="93">
        <v>2</v>
      </c>
      <c r="LW11" s="93">
        <v>2.5</v>
      </c>
      <c r="MQ11" s="94" t="s">
        <v>141</v>
      </c>
      <c r="NB11" s="93">
        <v>2</v>
      </c>
      <c r="NC11" s="93">
        <v>2.5</v>
      </c>
      <c r="NW11" s="94" t="s">
        <v>141</v>
      </c>
      <c r="OH11" s="93">
        <v>2</v>
      </c>
      <c r="OI11" s="93">
        <v>2.5</v>
      </c>
      <c r="PC11" s="94" t="s">
        <v>141</v>
      </c>
      <c r="PN11" s="93">
        <v>2</v>
      </c>
      <c r="PO11" s="93">
        <v>2.5</v>
      </c>
      <c r="QI11" s="94" t="s">
        <v>141</v>
      </c>
      <c r="QT11" s="93">
        <v>2</v>
      </c>
      <c r="QU11" s="93">
        <v>2.5</v>
      </c>
      <c r="RO11" s="94" t="s">
        <v>141</v>
      </c>
      <c r="RZ11" s="93">
        <v>2</v>
      </c>
      <c r="SA11" s="93">
        <v>2.5</v>
      </c>
      <c r="SU11" s="94" t="s">
        <v>141</v>
      </c>
      <c r="TF11" s="93">
        <v>2</v>
      </c>
      <c r="TG11" s="93">
        <v>2.5</v>
      </c>
      <c r="UA11" s="94" t="s">
        <v>141</v>
      </c>
      <c r="UL11" s="93">
        <v>2</v>
      </c>
      <c r="UM11" s="93">
        <v>2.5</v>
      </c>
      <c r="VG11" s="94" t="s">
        <v>141</v>
      </c>
      <c r="VR11" s="93">
        <v>2</v>
      </c>
      <c r="VS11" s="93">
        <v>2.5</v>
      </c>
      <c r="WM11" s="94" t="s">
        <v>141</v>
      </c>
      <c r="WX11" s="93">
        <v>2</v>
      </c>
      <c r="WY11" s="93">
        <v>2.5</v>
      </c>
      <c r="XS11" s="94" t="s">
        <v>141</v>
      </c>
      <c r="YD11" s="93">
        <v>2</v>
      </c>
      <c r="YE11" s="93">
        <v>2.5</v>
      </c>
      <c r="YY11" s="94" t="s">
        <v>141</v>
      </c>
      <c r="ZJ11" s="93">
        <v>2</v>
      </c>
      <c r="ZK11" s="93">
        <v>2.5</v>
      </c>
      <c r="AAE11" s="94" t="s">
        <v>141</v>
      </c>
      <c r="AAP11" s="93">
        <v>2</v>
      </c>
      <c r="AAQ11" s="93">
        <v>2.5</v>
      </c>
      <c r="ABK11" s="94" t="s">
        <v>141</v>
      </c>
      <c r="ABV11" s="93">
        <v>2</v>
      </c>
      <c r="ABW11" s="93">
        <v>2.5</v>
      </c>
      <c r="ACQ11" s="94" t="s">
        <v>141</v>
      </c>
      <c r="ADB11" s="93">
        <v>2</v>
      </c>
      <c r="ADC11" s="93">
        <v>2.5</v>
      </c>
      <c r="ADW11" s="94" t="s">
        <v>141</v>
      </c>
      <c r="AEH11" s="93">
        <v>2</v>
      </c>
      <c r="AEI11" s="93">
        <v>2.5</v>
      </c>
      <c r="AFC11" s="94" t="s">
        <v>141</v>
      </c>
      <c r="AFN11" s="93">
        <v>2</v>
      </c>
      <c r="AFO11" s="93">
        <v>2.5</v>
      </c>
      <c r="AGI11" s="94" t="s">
        <v>141</v>
      </c>
      <c r="AGT11" s="93">
        <v>2</v>
      </c>
      <c r="AGU11" s="93">
        <v>2.5</v>
      </c>
      <c r="AHO11" s="94" t="s">
        <v>141</v>
      </c>
      <c r="AHZ11" s="93">
        <v>2</v>
      </c>
      <c r="AIA11" s="93">
        <v>2.5</v>
      </c>
      <c r="AIU11" s="94" t="s">
        <v>141</v>
      </c>
      <c r="AJF11" s="93">
        <v>2</v>
      </c>
      <c r="AJG11" s="93">
        <v>2.5</v>
      </c>
      <c r="AKA11" s="94" t="s">
        <v>141</v>
      </c>
      <c r="AKL11" s="93">
        <v>2</v>
      </c>
      <c r="AKM11" s="93">
        <v>2.5</v>
      </c>
      <c r="ALG11" s="94" t="s">
        <v>141</v>
      </c>
      <c r="ALR11" s="93">
        <v>2</v>
      </c>
      <c r="ALS11" s="93">
        <v>2.5</v>
      </c>
      <c r="AMM11" s="94" t="s">
        <v>141</v>
      </c>
      <c r="AMX11" s="93">
        <v>2</v>
      </c>
      <c r="AMY11" s="93">
        <v>2.5</v>
      </c>
      <c r="ANS11" s="94" t="s">
        <v>141</v>
      </c>
      <c r="AOD11" s="93">
        <v>2</v>
      </c>
      <c r="AOE11" s="93">
        <v>2.5</v>
      </c>
      <c r="AOY11" s="94" t="s">
        <v>141</v>
      </c>
      <c r="APJ11" s="93">
        <v>2</v>
      </c>
      <c r="APK11" s="93">
        <v>2.5</v>
      </c>
      <c r="AQE11" s="94" t="s">
        <v>141</v>
      </c>
      <c r="AQP11" s="93">
        <v>2</v>
      </c>
      <c r="AQQ11" s="93">
        <v>2.5</v>
      </c>
      <c r="ARK11" s="94" t="s">
        <v>141</v>
      </c>
      <c r="ARV11" s="93">
        <v>2</v>
      </c>
      <c r="ARW11" s="93">
        <v>2.5</v>
      </c>
      <c r="ASQ11" s="94" t="s">
        <v>141</v>
      </c>
      <c r="ATB11" s="93">
        <v>2</v>
      </c>
      <c r="ATC11" s="93">
        <v>2.5</v>
      </c>
      <c r="ATW11" s="94" t="s">
        <v>141</v>
      </c>
      <c r="AUH11" s="93">
        <v>2</v>
      </c>
      <c r="AUI11" s="93">
        <v>2.5</v>
      </c>
      <c r="AVC11" s="94" t="s">
        <v>141</v>
      </c>
      <c r="AVN11" s="93">
        <v>2</v>
      </c>
      <c r="AVO11" s="93">
        <v>2.5</v>
      </c>
      <c r="AWI11" s="94" t="s">
        <v>141</v>
      </c>
      <c r="AWT11" s="93">
        <v>2</v>
      </c>
      <c r="AWU11" s="93">
        <v>2.5</v>
      </c>
      <c r="AXO11" s="94" t="s">
        <v>141</v>
      </c>
      <c r="AXZ11" s="93">
        <v>2</v>
      </c>
      <c r="AYA11" s="93">
        <v>2.5</v>
      </c>
      <c r="AYU11" s="94" t="s">
        <v>141</v>
      </c>
      <c r="AZF11" s="93">
        <v>2</v>
      </c>
      <c r="AZG11" s="93">
        <v>2.5</v>
      </c>
      <c r="BAA11" s="94" t="s">
        <v>141</v>
      </c>
      <c r="BAL11" s="93">
        <v>2</v>
      </c>
      <c r="BAM11" s="93">
        <v>2.5</v>
      </c>
      <c r="BBG11" s="94" t="s">
        <v>141</v>
      </c>
      <c r="BBR11" s="93">
        <v>2</v>
      </c>
      <c r="BBS11" s="93">
        <v>2.5</v>
      </c>
      <c r="BCM11" s="94" t="s">
        <v>141</v>
      </c>
      <c r="BCX11" s="93">
        <v>2</v>
      </c>
      <c r="BCY11" s="93">
        <v>2.5</v>
      </c>
      <c r="BDS11" s="94" t="s">
        <v>141</v>
      </c>
      <c r="BED11" s="93">
        <v>2</v>
      </c>
      <c r="BEE11" s="93">
        <v>2.5</v>
      </c>
      <c r="BEY11" s="94" t="s">
        <v>141</v>
      </c>
      <c r="BFJ11" s="93">
        <v>2</v>
      </c>
      <c r="BFK11" s="93">
        <v>2.5</v>
      </c>
      <c r="BGE11" s="94" t="s">
        <v>141</v>
      </c>
      <c r="BGP11" s="93">
        <v>2</v>
      </c>
      <c r="BGQ11" s="93">
        <v>2.5</v>
      </c>
      <c r="BHK11" s="94" t="s">
        <v>141</v>
      </c>
      <c r="BHV11" s="93">
        <v>2</v>
      </c>
      <c r="BHW11" s="93">
        <v>2.5</v>
      </c>
      <c r="BIQ11" s="94" t="s">
        <v>141</v>
      </c>
      <c r="BJB11" s="93">
        <v>2</v>
      </c>
      <c r="BJC11" s="93">
        <v>2.5</v>
      </c>
      <c r="BJW11" s="94" t="s">
        <v>141</v>
      </c>
      <c r="BKH11" s="93">
        <v>2</v>
      </c>
      <c r="BKI11" s="93">
        <v>2.5</v>
      </c>
      <c r="BLC11" s="94" t="s">
        <v>141</v>
      </c>
      <c r="BLN11" s="93">
        <v>2</v>
      </c>
      <c r="BLO11" s="93">
        <v>2.5</v>
      </c>
      <c r="BMI11" s="94" t="s">
        <v>141</v>
      </c>
      <c r="BMT11" s="93">
        <v>2</v>
      </c>
      <c r="BMU11" s="93">
        <v>2.5</v>
      </c>
      <c r="BNO11" s="94" t="s">
        <v>141</v>
      </c>
      <c r="BNZ11" s="93">
        <v>2</v>
      </c>
      <c r="BOA11" s="93">
        <v>2.5</v>
      </c>
      <c r="BOU11" s="94" t="s">
        <v>141</v>
      </c>
      <c r="BPF11" s="93">
        <v>2</v>
      </c>
      <c r="BPG11" s="93">
        <v>2.5</v>
      </c>
      <c r="BQA11" s="94" t="s">
        <v>141</v>
      </c>
      <c r="BQL11" s="93">
        <v>2</v>
      </c>
      <c r="BQM11" s="93">
        <v>2.5</v>
      </c>
      <c r="BRG11" s="94" t="s">
        <v>141</v>
      </c>
      <c r="BRR11" s="93">
        <v>2</v>
      </c>
      <c r="BRS11" s="93">
        <v>2.5</v>
      </c>
      <c r="BSM11" s="94" t="s">
        <v>141</v>
      </c>
      <c r="BSX11" s="93">
        <v>2</v>
      </c>
      <c r="BSY11" s="93">
        <v>2.5</v>
      </c>
      <c r="BTS11" s="94" t="s">
        <v>141</v>
      </c>
      <c r="BUD11" s="93">
        <v>2</v>
      </c>
      <c r="BUE11" s="93">
        <v>2.5</v>
      </c>
      <c r="BUY11" s="94" t="s">
        <v>141</v>
      </c>
      <c r="BVJ11" s="93">
        <v>2</v>
      </c>
      <c r="BVK11" s="93">
        <v>2.5</v>
      </c>
      <c r="BWE11" s="94" t="s">
        <v>141</v>
      </c>
      <c r="BWP11" s="93">
        <v>2</v>
      </c>
      <c r="BWQ11" s="93">
        <v>2.5</v>
      </c>
      <c r="BXK11" s="94" t="s">
        <v>141</v>
      </c>
      <c r="BXV11" s="93">
        <v>2</v>
      </c>
      <c r="BXW11" s="93">
        <v>2.5</v>
      </c>
      <c r="BYQ11" s="94" t="s">
        <v>141</v>
      </c>
      <c r="BZB11" s="93">
        <v>2</v>
      </c>
      <c r="BZC11" s="93">
        <v>2.5</v>
      </c>
      <c r="BZW11" s="94" t="s">
        <v>141</v>
      </c>
      <c r="CAH11" s="93">
        <v>2</v>
      </c>
      <c r="CAI11" s="93">
        <v>2.5</v>
      </c>
      <c r="CBC11" s="94" t="s">
        <v>141</v>
      </c>
      <c r="CBN11" s="93">
        <v>2</v>
      </c>
      <c r="CBO11" s="93">
        <v>2.5</v>
      </c>
      <c r="CCI11" s="94" t="s">
        <v>141</v>
      </c>
      <c r="CCT11" s="93">
        <v>2</v>
      </c>
      <c r="CCU11" s="93">
        <v>2.5</v>
      </c>
      <c r="CDO11" s="94" t="s">
        <v>141</v>
      </c>
      <c r="CDZ11" s="93">
        <v>2</v>
      </c>
      <c r="CEA11" s="93">
        <v>2.5</v>
      </c>
      <c r="CEU11" s="94" t="s">
        <v>141</v>
      </c>
      <c r="CFF11" s="93">
        <v>2</v>
      </c>
      <c r="CFG11" s="93">
        <v>2.5</v>
      </c>
      <c r="CGA11" s="94" t="s">
        <v>141</v>
      </c>
      <c r="CGL11" s="93">
        <v>2</v>
      </c>
      <c r="CGM11" s="93">
        <v>2.5</v>
      </c>
      <c r="CHG11" s="94" t="s">
        <v>141</v>
      </c>
      <c r="CHR11" s="93">
        <v>2</v>
      </c>
      <c r="CHS11" s="93">
        <v>2.5</v>
      </c>
      <c r="CIM11" s="94" t="s">
        <v>141</v>
      </c>
      <c r="CIX11" s="93">
        <v>2</v>
      </c>
      <c r="CIY11" s="93">
        <v>2.5</v>
      </c>
      <c r="CJS11" s="94" t="s">
        <v>141</v>
      </c>
      <c r="CKD11" s="93">
        <v>2</v>
      </c>
      <c r="CKE11" s="93">
        <v>2.5</v>
      </c>
      <c r="CKY11" s="94" t="s">
        <v>141</v>
      </c>
      <c r="CLJ11" s="93">
        <v>2</v>
      </c>
      <c r="CLK11" s="93">
        <v>2.5</v>
      </c>
      <c r="CME11" s="94" t="s">
        <v>141</v>
      </c>
      <c r="CMP11" s="93">
        <v>2</v>
      </c>
      <c r="CMQ11" s="93">
        <v>2.5</v>
      </c>
      <c r="CNK11" s="94" t="s">
        <v>141</v>
      </c>
      <c r="CNV11" s="93">
        <v>2</v>
      </c>
      <c r="CNW11" s="93">
        <v>2.5</v>
      </c>
      <c r="COQ11" s="94" t="s">
        <v>141</v>
      </c>
      <c r="CPB11" s="93">
        <v>2</v>
      </c>
      <c r="CPC11" s="93">
        <v>2.5</v>
      </c>
      <c r="CPW11" s="94" t="s">
        <v>141</v>
      </c>
      <c r="CQH11" s="93">
        <v>2</v>
      </c>
      <c r="CQI11" s="93">
        <v>2.5</v>
      </c>
      <c r="CRC11" s="94" t="s">
        <v>141</v>
      </c>
      <c r="CRN11" s="93">
        <v>2</v>
      </c>
      <c r="CRO11" s="93">
        <v>2.5</v>
      </c>
      <c r="CSI11" s="94" t="s">
        <v>141</v>
      </c>
      <c r="CST11" s="93">
        <v>2</v>
      </c>
      <c r="CSU11" s="93">
        <v>2.5</v>
      </c>
      <c r="CTO11" s="94" t="s">
        <v>141</v>
      </c>
      <c r="CTZ11" s="93">
        <v>2</v>
      </c>
      <c r="CUA11" s="93">
        <v>2.5</v>
      </c>
      <c r="CUU11" s="94" t="s">
        <v>141</v>
      </c>
      <c r="CVF11" s="93">
        <v>2</v>
      </c>
      <c r="CVG11" s="93">
        <v>2.5</v>
      </c>
      <c r="CWA11" s="94" t="s">
        <v>141</v>
      </c>
      <c r="CWL11" s="93">
        <v>2</v>
      </c>
      <c r="CWM11" s="93">
        <v>2.5</v>
      </c>
      <c r="CXG11" s="94" t="s">
        <v>141</v>
      </c>
      <c r="CXR11" s="93">
        <v>2</v>
      </c>
      <c r="CXS11" s="93">
        <v>2.5</v>
      </c>
      <c r="CYM11" s="94" t="s">
        <v>141</v>
      </c>
      <c r="CYX11" s="93">
        <v>2</v>
      </c>
      <c r="CYY11" s="93">
        <v>2.5</v>
      </c>
      <c r="CZS11" s="94" t="s">
        <v>141</v>
      </c>
      <c r="DAD11" s="93">
        <v>2</v>
      </c>
      <c r="DAE11" s="93">
        <v>2.5</v>
      </c>
      <c r="DAY11" s="94" t="s">
        <v>141</v>
      </c>
      <c r="DBJ11" s="93">
        <v>2</v>
      </c>
      <c r="DBK11" s="93">
        <v>2.5</v>
      </c>
      <c r="DCE11" s="94" t="s">
        <v>141</v>
      </c>
      <c r="DCP11" s="93">
        <v>2</v>
      </c>
      <c r="DCQ11" s="93">
        <v>2.5</v>
      </c>
      <c r="DDK11" s="94" t="s">
        <v>141</v>
      </c>
      <c r="DDV11" s="93">
        <v>2</v>
      </c>
      <c r="DDW11" s="93">
        <v>2.5</v>
      </c>
      <c r="DEQ11" s="94" t="s">
        <v>141</v>
      </c>
      <c r="DFB11" s="93">
        <v>2</v>
      </c>
      <c r="DFC11" s="93">
        <v>2.5</v>
      </c>
      <c r="DFW11" s="94" t="s">
        <v>141</v>
      </c>
      <c r="DGH11" s="93">
        <v>2</v>
      </c>
      <c r="DGI11" s="93">
        <v>2.5</v>
      </c>
      <c r="DHC11" s="94" t="s">
        <v>141</v>
      </c>
      <c r="DHN11" s="93">
        <v>2</v>
      </c>
      <c r="DHO11" s="93">
        <v>2.5</v>
      </c>
      <c r="DII11" s="94" t="s">
        <v>141</v>
      </c>
      <c r="DIT11" s="93">
        <v>2</v>
      </c>
      <c r="DIU11" s="93">
        <v>2.5</v>
      </c>
      <c r="DJO11" s="94" t="s">
        <v>141</v>
      </c>
      <c r="DJZ11" s="93">
        <v>2</v>
      </c>
      <c r="DKA11" s="93">
        <v>2.5</v>
      </c>
      <c r="DKU11" s="94" t="s">
        <v>141</v>
      </c>
      <c r="DLF11" s="93">
        <v>2</v>
      </c>
      <c r="DLG11" s="93">
        <v>2.5</v>
      </c>
      <c r="DMA11" s="94" t="s">
        <v>141</v>
      </c>
      <c r="DML11" s="93">
        <v>2</v>
      </c>
      <c r="DMM11" s="93">
        <v>2.5</v>
      </c>
      <c r="DNG11" s="94" t="s">
        <v>141</v>
      </c>
      <c r="DNR11" s="93">
        <v>2</v>
      </c>
      <c r="DNS11" s="93">
        <v>2.5</v>
      </c>
      <c r="DOM11" s="94" t="s">
        <v>141</v>
      </c>
      <c r="DOX11" s="93">
        <v>2</v>
      </c>
      <c r="DOY11" s="93">
        <v>2.5</v>
      </c>
      <c r="DPS11" s="94" t="s">
        <v>141</v>
      </c>
      <c r="DQD11" s="93">
        <v>2</v>
      </c>
      <c r="DQE11" s="93">
        <v>2.5</v>
      </c>
      <c r="DQY11" s="94" t="s">
        <v>141</v>
      </c>
      <c r="DRJ11" s="93">
        <v>2</v>
      </c>
      <c r="DRK11" s="93">
        <v>2.5</v>
      </c>
      <c r="DSE11" s="94" t="s">
        <v>141</v>
      </c>
      <c r="DSP11" s="93">
        <v>2</v>
      </c>
      <c r="DSQ11" s="93">
        <v>2.5</v>
      </c>
      <c r="DTK11" s="94" t="s">
        <v>141</v>
      </c>
      <c r="DTV11" s="93">
        <v>2</v>
      </c>
      <c r="DTW11" s="93">
        <v>2.5</v>
      </c>
      <c r="DUQ11" s="94" t="s">
        <v>141</v>
      </c>
      <c r="DVB11" s="93">
        <v>2</v>
      </c>
      <c r="DVC11" s="93">
        <v>2.5</v>
      </c>
      <c r="DVW11" s="94" t="s">
        <v>141</v>
      </c>
      <c r="DWH11" s="93">
        <v>2</v>
      </c>
      <c r="DWI11" s="93">
        <v>2.5</v>
      </c>
      <c r="DXC11" s="94" t="s">
        <v>141</v>
      </c>
      <c r="DXN11" s="93">
        <v>2</v>
      </c>
      <c r="DXO11" s="93">
        <v>2.5</v>
      </c>
      <c r="DYI11" s="94" t="s">
        <v>141</v>
      </c>
      <c r="DYT11" s="93">
        <v>2</v>
      </c>
      <c r="DYU11" s="93">
        <v>2.5</v>
      </c>
      <c r="DZO11" s="94" t="s">
        <v>141</v>
      </c>
      <c r="DZZ11" s="93">
        <v>2</v>
      </c>
      <c r="EAA11" s="93">
        <v>2.5</v>
      </c>
      <c r="EAU11" s="94" t="s">
        <v>141</v>
      </c>
      <c r="EBF11" s="93">
        <v>2</v>
      </c>
      <c r="EBG11" s="93">
        <v>2.5</v>
      </c>
      <c r="ECA11" s="94" t="s">
        <v>141</v>
      </c>
      <c r="ECL11" s="93">
        <v>2</v>
      </c>
      <c r="ECM11" s="93">
        <v>2.5</v>
      </c>
      <c r="EDG11" s="94" t="s">
        <v>141</v>
      </c>
      <c r="EDR11" s="93">
        <v>2</v>
      </c>
      <c r="EDS11" s="93">
        <v>2.5</v>
      </c>
      <c r="EEM11" s="94" t="s">
        <v>141</v>
      </c>
      <c r="EEX11" s="93">
        <v>2</v>
      </c>
      <c r="EEY11" s="93">
        <v>2.5</v>
      </c>
      <c r="EFS11" s="94" t="s">
        <v>141</v>
      </c>
      <c r="EGD11" s="93">
        <v>2</v>
      </c>
      <c r="EGE11" s="93">
        <v>2.5</v>
      </c>
      <c r="EGY11" s="94" t="s">
        <v>141</v>
      </c>
      <c r="EHJ11" s="93">
        <v>2</v>
      </c>
      <c r="EHK11" s="93">
        <v>2.5</v>
      </c>
      <c r="EIE11" s="94" t="s">
        <v>141</v>
      </c>
      <c r="EIP11" s="93">
        <v>2</v>
      </c>
      <c r="EIQ11" s="93">
        <v>2.5</v>
      </c>
      <c r="EJK11" s="94" t="s">
        <v>141</v>
      </c>
      <c r="EJV11" s="93">
        <v>2</v>
      </c>
      <c r="EJW11" s="93">
        <v>2.5</v>
      </c>
      <c r="EKQ11" s="94" t="s">
        <v>141</v>
      </c>
      <c r="ELB11" s="93">
        <v>2</v>
      </c>
      <c r="ELC11" s="93">
        <v>2.5</v>
      </c>
      <c r="ELW11" s="94" t="s">
        <v>141</v>
      </c>
      <c r="EMH11" s="93">
        <v>2</v>
      </c>
      <c r="EMI11" s="93">
        <v>2.5</v>
      </c>
      <c r="ENC11" s="94" t="s">
        <v>141</v>
      </c>
      <c r="ENN11" s="93">
        <v>2</v>
      </c>
      <c r="ENO11" s="93">
        <v>2.5</v>
      </c>
      <c r="EOI11" s="94" t="s">
        <v>141</v>
      </c>
      <c r="EOT11" s="93">
        <v>2</v>
      </c>
      <c r="EOU11" s="93">
        <v>2.5</v>
      </c>
      <c r="EPO11" s="94" t="s">
        <v>141</v>
      </c>
      <c r="EPZ11" s="93">
        <v>2</v>
      </c>
      <c r="EQA11" s="93">
        <v>2.5</v>
      </c>
      <c r="EQU11" s="94" t="s">
        <v>141</v>
      </c>
      <c r="ERF11" s="93">
        <v>2</v>
      </c>
      <c r="ERG11" s="93">
        <v>2.5</v>
      </c>
      <c r="ESA11" s="94" t="s">
        <v>141</v>
      </c>
      <c r="ESL11" s="93">
        <v>2</v>
      </c>
      <c r="ESM11" s="93">
        <v>2.5</v>
      </c>
      <c r="ETG11" s="94" t="s">
        <v>141</v>
      </c>
      <c r="ETR11" s="93">
        <v>2</v>
      </c>
      <c r="ETS11" s="93">
        <v>2.5</v>
      </c>
      <c r="EUM11" s="94" t="s">
        <v>141</v>
      </c>
      <c r="EUX11" s="93">
        <v>2</v>
      </c>
      <c r="EUY11" s="93">
        <v>2.5</v>
      </c>
      <c r="EVS11" s="94" t="s">
        <v>141</v>
      </c>
      <c r="EWD11" s="93">
        <v>2</v>
      </c>
      <c r="EWE11" s="93">
        <v>2.5</v>
      </c>
      <c r="EWY11" s="94" t="s">
        <v>141</v>
      </c>
      <c r="EXJ11" s="93">
        <v>2</v>
      </c>
      <c r="EXK11" s="93">
        <v>2.5</v>
      </c>
      <c r="EYE11" s="94" t="s">
        <v>141</v>
      </c>
      <c r="EYP11" s="93">
        <v>2</v>
      </c>
      <c r="EYQ11" s="93">
        <v>2.5</v>
      </c>
      <c r="EZK11" s="94" t="s">
        <v>141</v>
      </c>
      <c r="EZV11" s="93">
        <v>2</v>
      </c>
      <c r="EZW11" s="93">
        <v>2.5</v>
      </c>
      <c r="FAQ11" s="94" t="s">
        <v>141</v>
      </c>
      <c r="FBB11" s="93">
        <v>2</v>
      </c>
      <c r="FBC11" s="93">
        <v>2.5</v>
      </c>
      <c r="FBW11" s="94" t="s">
        <v>141</v>
      </c>
      <c r="FCH11" s="93">
        <v>2</v>
      </c>
      <c r="FCI11" s="93">
        <v>2.5</v>
      </c>
      <c r="FDC11" s="94" t="s">
        <v>141</v>
      </c>
      <c r="FDN11" s="93">
        <v>2</v>
      </c>
      <c r="FDO11" s="93">
        <v>2.5</v>
      </c>
      <c r="FEI11" s="94" t="s">
        <v>141</v>
      </c>
      <c r="FET11" s="93">
        <v>2</v>
      </c>
      <c r="FEU11" s="93">
        <v>2.5</v>
      </c>
      <c r="FFO11" s="94" t="s">
        <v>141</v>
      </c>
      <c r="FFZ11" s="93">
        <v>2</v>
      </c>
      <c r="FGA11" s="93">
        <v>2.5</v>
      </c>
      <c r="FGU11" s="94" t="s">
        <v>141</v>
      </c>
      <c r="FHF11" s="93">
        <v>2</v>
      </c>
      <c r="FHG11" s="93">
        <v>2.5</v>
      </c>
      <c r="FIA11" s="94" t="s">
        <v>141</v>
      </c>
      <c r="FIL11" s="93">
        <v>2</v>
      </c>
      <c r="FIM11" s="93">
        <v>2.5</v>
      </c>
      <c r="FJG11" s="94" t="s">
        <v>141</v>
      </c>
      <c r="FJR11" s="93">
        <v>2</v>
      </c>
      <c r="FJS11" s="93">
        <v>2.5</v>
      </c>
      <c r="FKM11" s="94" t="s">
        <v>141</v>
      </c>
      <c r="FKX11" s="93">
        <v>2</v>
      </c>
      <c r="FKY11" s="93">
        <v>2.5</v>
      </c>
      <c r="FLS11" s="94" t="s">
        <v>141</v>
      </c>
      <c r="FMD11" s="93">
        <v>2</v>
      </c>
      <c r="FME11" s="93">
        <v>2.5</v>
      </c>
      <c r="FMY11" s="94" t="s">
        <v>141</v>
      </c>
      <c r="FNJ11" s="93">
        <v>2</v>
      </c>
      <c r="FNK11" s="93">
        <v>2.5</v>
      </c>
      <c r="FOE11" s="94" t="s">
        <v>141</v>
      </c>
      <c r="FOP11" s="93">
        <v>2</v>
      </c>
      <c r="FOQ11" s="93">
        <v>2.5</v>
      </c>
      <c r="FPK11" s="94" t="s">
        <v>141</v>
      </c>
      <c r="FPV11" s="93">
        <v>2</v>
      </c>
      <c r="FPW11" s="93">
        <v>2.5</v>
      </c>
      <c r="FQQ11" s="94" t="s">
        <v>141</v>
      </c>
      <c r="FRB11" s="93">
        <v>2</v>
      </c>
      <c r="FRC11" s="93">
        <v>2.5</v>
      </c>
      <c r="FRW11" s="94" t="s">
        <v>141</v>
      </c>
      <c r="FSH11" s="93">
        <v>2</v>
      </c>
      <c r="FSI11" s="93">
        <v>2.5</v>
      </c>
      <c r="FTC11" s="94" t="s">
        <v>141</v>
      </c>
      <c r="FTN11" s="93">
        <v>2</v>
      </c>
      <c r="FTO11" s="93">
        <v>2.5</v>
      </c>
      <c r="FUI11" s="94" t="s">
        <v>141</v>
      </c>
      <c r="FUT11" s="93">
        <v>2</v>
      </c>
      <c r="FUU11" s="93">
        <v>2.5</v>
      </c>
      <c r="FVO11" s="94" t="s">
        <v>141</v>
      </c>
      <c r="FVZ11" s="93">
        <v>2</v>
      </c>
      <c r="FWA11" s="93">
        <v>2.5</v>
      </c>
      <c r="FWU11" s="94" t="s">
        <v>141</v>
      </c>
      <c r="FXF11" s="93">
        <v>2</v>
      </c>
      <c r="FXG11" s="93">
        <v>2.5</v>
      </c>
      <c r="FYA11" s="94" t="s">
        <v>141</v>
      </c>
      <c r="FYL11" s="93">
        <v>2</v>
      </c>
      <c r="FYM11" s="93">
        <v>2.5</v>
      </c>
      <c r="FZG11" s="94" t="s">
        <v>141</v>
      </c>
      <c r="FZR11" s="93">
        <v>2</v>
      </c>
      <c r="FZS11" s="93">
        <v>2.5</v>
      </c>
      <c r="GAM11" s="94" t="s">
        <v>141</v>
      </c>
      <c r="GAX11" s="93">
        <v>2</v>
      </c>
      <c r="GAY11" s="93">
        <v>2.5</v>
      </c>
      <c r="GBS11" s="94" t="s">
        <v>141</v>
      </c>
      <c r="GCD11" s="93">
        <v>2</v>
      </c>
      <c r="GCE11" s="93">
        <v>2.5</v>
      </c>
      <c r="GCY11" s="94" t="s">
        <v>141</v>
      </c>
      <c r="GDJ11" s="93">
        <v>2</v>
      </c>
      <c r="GDK11" s="93">
        <v>2.5</v>
      </c>
      <c r="GEE11" s="94" t="s">
        <v>141</v>
      </c>
      <c r="GEP11" s="93">
        <v>2</v>
      </c>
      <c r="GEQ11" s="93">
        <v>2.5</v>
      </c>
      <c r="GFK11" s="94" t="s">
        <v>141</v>
      </c>
      <c r="GFV11" s="93">
        <v>2</v>
      </c>
      <c r="GFW11" s="93">
        <v>2.5</v>
      </c>
      <c r="GGQ11" s="94" t="s">
        <v>141</v>
      </c>
      <c r="GHB11" s="93">
        <v>2</v>
      </c>
      <c r="GHC11" s="93">
        <v>2.5</v>
      </c>
      <c r="GHW11" s="94" t="s">
        <v>141</v>
      </c>
      <c r="GIH11" s="93">
        <v>2</v>
      </c>
      <c r="GII11" s="93">
        <v>2.5</v>
      </c>
      <c r="GJC11" s="94" t="s">
        <v>141</v>
      </c>
      <c r="GJN11" s="93">
        <v>2</v>
      </c>
      <c r="GJO11" s="93">
        <v>2.5</v>
      </c>
      <c r="GKI11" s="94" t="s">
        <v>141</v>
      </c>
      <c r="GKT11" s="93">
        <v>2</v>
      </c>
      <c r="GKU11" s="93">
        <v>2.5</v>
      </c>
      <c r="GLO11" s="94" t="s">
        <v>141</v>
      </c>
      <c r="GLZ11" s="93">
        <v>2</v>
      </c>
      <c r="GMA11" s="93">
        <v>2.5</v>
      </c>
      <c r="GMU11" s="94" t="s">
        <v>141</v>
      </c>
      <c r="GNF11" s="93">
        <v>2</v>
      </c>
      <c r="GNG11" s="93">
        <v>2.5</v>
      </c>
      <c r="GOA11" s="94" t="s">
        <v>141</v>
      </c>
      <c r="GOL11" s="93">
        <v>2</v>
      </c>
      <c r="GOM11" s="93">
        <v>2.5</v>
      </c>
      <c r="GPG11" s="94" t="s">
        <v>141</v>
      </c>
      <c r="GPR11" s="93">
        <v>2</v>
      </c>
      <c r="GPS11" s="93">
        <v>2.5</v>
      </c>
      <c r="GQM11" s="94" t="s">
        <v>141</v>
      </c>
      <c r="GQX11" s="93">
        <v>2</v>
      </c>
      <c r="GQY11" s="93">
        <v>2.5</v>
      </c>
      <c r="GRS11" s="94" t="s">
        <v>141</v>
      </c>
      <c r="GSD11" s="93">
        <v>2</v>
      </c>
      <c r="GSE11" s="93">
        <v>2.5</v>
      </c>
      <c r="GSY11" s="94" t="s">
        <v>141</v>
      </c>
      <c r="GTJ11" s="93">
        <v>2</v>
      </c>
      <c r="GTK11" s="93">
        <v>2.5</v>
      </c>
      <c r="GUE11" s="94" t="s">
        <v>141</v>
      </c>
      <c r="GUP11" s="93">
        <v>2</v>
      </c>
      <c r="GUQ11" s="93">
        <v>2.5</v>
      </c>
      <c r="GVK11" s="94" t="s">
        <v>141</v>
      </c>
      <c r="GVV11" s="93">
        <v>2</v>
      </c>
      <c r="GVW11" s="93">
        <v>2.5</v>
      </c>
      <c r="GWQ11" s="94" t="s">
        <v>141</v>
      </c>
      <c r="GXB11" s="93">
        <v>2</v>
      </c>
      <c r="GXC11" s="93">
        <v>2.5</v>
      </c>
      <c r="GXW11" s="94" t="s">
        <v>141</v>
      </c>
      <c r="GYH11" s="93">
        <v>2</v>
      </c>
      <c r="GYI11" s="93">
        <v>2.5</v>
      </c>
      <c r="GZC11" s="94" t="s">
        <v>141</v>
      </c>
      <c r="GZN11" s="93">
        <v>2</v>
      </c>
      <c r="GZO11" s="93">
        <v>2.5</v>
      </c>
      <c r="HAI11" s="94" t="s">
        <v>141</v>
      </c>
      <c r="HAT11" s="93">
        <v>2</v>
      </c>
      <c r="HAU11" s="93">
        <v>2.5</v>
      </c>
      <c r="HBO11" s="94" t="s">
        <v>141</v>
      </c>
      <c r="HBZ11" s="93">
        <v>2</v>
      </c>
      <c r="HCA11" s="93">
        <v>2.5</v>
      </c>
      <c r="HCU11" s="94" t="s">
        <v>141</v>
      </c>
      <c r="HDF11" s="93">
        <v>2</v>
      </c>
      <c r="HDG11" s="93">
        <v>2.5</v>
      </c>
      <c r="HEA11" s="94" t="s">
        <v>141</v>
      </c>
      <c r="HEL11" s="93">
        <v>2</v>
      </c>
      <c r="HEM11" s="93">
        <v>2.5</v>
      </c>
      <c r="HFG11" s="94" t="s">
        <v>141</v>
      </c>
      <c r="HFR11" s="93">
        <v>2</v>
      </c>
      <c r="HFS11" s="93">
        <v>2.5</v>
      </c>
      <c r="HGM11" s="94" t="s">
        <v>141</v>
      </c>
      <c r="HGX11" s="93">
        <v>2</v>
      </c>
      <c r="HGY11" s="93">
        <v>2.5</v>
      </c>
      <c r="HHS11" s="94" t="s">
        <v>141</v>
      </c>
      <c r="HID11" s="93">
        <v>2</v>
      </c>
      <c r="HIE11" s="93">
        <v>2.5</v>
      </c>
      <c r="HIY11" s="94" t="s">
        <v>141</v>
      </c>
      <c r="HJJ11" s="93">
        <v>2</v>
      </c>
      <c r="HJK11" s="93">
        <v>2.5</v>
      </c>
      <c r="HKE11" s="94" t="s">
        <v>141</v>
      </c>
      <c r="HKP11" s="93">
        <v>2</v>
      </c>
      <c r="HKQ11" s="93">
        <v>2.5</v>
      </c>
      <c r="HLK11" s="94" t="s">
        <v>141</v>
      </c>
      <c r="HLV11" s="93">
        <v>2</v>
      </c>
      <c r="HLW11" s="93">
        <v>2.5</v>
      </c>
      <c r="HMQ11" s="94" t="s">
        <v>141</v>
      </c>
      <c r="HNB11" s="93">
        <v>2</v>
      </c>
      <c r="HNC11" s="93">
        <v>2.5</v>
      </c>
      <c r="HNW11" s="94" t="s">
        <v>141</v>
      </c>
      <c r="HOH11" s="93">
        <v>2</v>
      </c>
      <c r="HOI11" s="93">
        <v>2.5</v>
      </c>
      <c r="HPC11" s="94" t="s">
        <v>141</v>
      </c>
      <c r="HPN11" s="93">
        <v>2</v>
      </c>
      <c r="HPO11" s="93">
        <v>2.5</v>
      </c>
      <c r="HQI11" s="94" t="s">
        <v>141</v>
      </c>
      <c r="HQT11" s="93">
        <v>2</v>
      </c>
      <c r="HQU11" s="93">
        <v>2.5</v>
      </c>
      <c r="HRO11" s="94" t="s">
        <v>141</v>
      </c>
      <c r="HRZ11" s="93">
        <v>2</v>
      </c>
      <c r="HSA11" s="93">
        <v>2.5</v>
      </c>
      <c r="HSU11" s="94" t="s">
        <v>141</v>
      </c>
      <c r="HTF11" s="93">
        <v>2</v>
      </c>
      <c r="HTG11" s="93">
        <v>2.5</v>
      </c>
      <c r="HUA11" s="94" t="s">
        <v>141</v>
      </c>
      <c r="HUL11" s="93">
        <v>2</v>
      </c>
      <c r="HUM11" s="93">
        <v>2.5</v>
      </c>
      <c r="HVG11" s="94" t="s">
        <v>141</v>
      </c>
      <c r="HVR11" s="93">
        <v>2</v>
      </c>
      <c r="HVS11" s="93">
        <v>2.5</v>
      </c>
      <c r="HWM11" s="94" t="s">
        <v>141</v>
      </c>
      <c r="HWX11" s="93">
        <v>2</v>
      </c>
      <c r="HWY11" s="93">
        <v>2.5</v>
      </c>
      <c r="HXS11" s="94" t="s">
        <v>141</v>
      </c>
      <c r="HYD11" s="93">
        <v>2</v>
      </c>
      <c r="HYE11" s="93">
        <v>2.5</v>
      </c>
      <c r="HYY11" s="94" t="s">
        <v>141</v>
      </c>
      <c r="HZJ11" s="93">
        <v>2</v>
      </c>
      <c r="HZK11" s="93">
        <v>2.5</v>
      </c>
      <c r="IAE11" s="94" t="s">
        <v>141</v>
      </c>
      <c r="IAP11" s="93">
        <v>2</v>
      </c>
      <c r="IAQ11" s="93">
        <v>2.5</v>
      </c>
      <c r="IBK11" s="94" t="s">
        <v>141</v>
      </c>
      <c r="IBV11" s="93">
        <v>2</v>
      </c>
      <c r="IBW11" s="93">
        <v>2.5</v>
      </c>
      <c r="ICQ11" s="94" t="s">
        <v>141</v>
      </c>
      <c r="IDB11" s="93">
        <v>2</v>
      </c>
      <c r="IDC11" s="93">
        <v>2.5</v>
      </c>
      <c r="IDW11" s="94" t="s">
        <v>141</v>
      </c>
      <c r="IEH11" s="93">
        <v>2</v>
      </c>
      <c r="IEI11" s="93">
        <v>2.5</v>
      </c>
      <c r="IFC11" s="94" t="s">
        <v>141</v>
      </c>
      <c r="IFN11" s="93">
        <v>2</v>
      </c>
      <c r="IFO11" s="93">
        <v>2.5</v>
      </c>
      <c r="IGI11" s="94" t="s">
        <v>141</v>
      </c>
      <c r="IGT11" s="93">
        <v>2</v>
      </c>
      <c r="IGU11" s="93">
        <v>2.5</v>
      </c>
      <c r="IHO11" s="94" t="s">
        <v>141</v>
      </c>
      <c r="IHZ11" s="93">
        <v>2</v>
      </c>
      <c r="IIA11" s="93">
        <v>2.5</v>
      </c>
      <c r="IIU11" s="94" t="s">
        <v>141</v>
      </c>
      <c r="IJF11" s="93">
        <v>2</v>
      </c>
      <c r="IJG11" s="93">
        <v>2.5</v>
      </c>
      <c r="IKA11" s="94" t="s">
        <v>141</v>
      </c>
      <c r="IKL11" s="93">
        <v>2</v>
      </c>
      <c r="IKM11" s="93">
        <v>2.5</v>
      </c>
      <c r="ILG11" s="94" t="s">
        <v>141</v>
      </c>
      <c r="ILR11" s="93">
        <v>2</v>
      </c>
      <c r="ILS11" s="93">
        <v>2.5</v>
      </c>
      <c r="IMM11" s="94" t="s">
        <v>141</v>
      </c>
      <c r="IMX11" s="93">
        <v>2</v>
      </c>
      <c r="IMY11" s="93">
        <v>2.5</v>
      </c>
      <c r="INS11" s="94" t="s">
        <v>141</v>
      </c>
      <c r="IOD11" s="93">
        <v>2</v>
      </c>
      <c r="IOE11" s="93">
        <v>2.5</v>
      </c>
      <c r="IOY11" s="94" t="s">
        <v>141</v>
      </c>
      <c r="IPJ11" s="93">
        <v>2</v>
      </c>
      <c r="IPK11" s="93">
        <v>2.5</v>
      </c>
      <c r="IQE11" s="94" t="s">
        <v>141</v>
      </c>
      <c r="IQP11" s="93">
        <v>2</v>
      </c>
      <c r="IQQ11" s="93">
        <v>2.5</v>
      </c>
      <c r="IRK11" s="94" t="s">
        <v>141</v>
      </c>
      <c r="IRV11" s="93">
        <v>2</v>
      </c>
      <c r="IRW11" s="93">
        <v>2.5</v>
      </c>
      <c r="ISQ11" s="94" t="s">
        <v>141</v>
      </c>
      <c r="ITB11" s="93">
        <v>2</v>
      </c>
      <c r="ITC11" s="93">
        <v>2.5</v>
      </c>
      <c r="ITW11" s="94" t="s">
        <v>141</v>
      </c>
      <c r="IUH11" s="93">
        <v>2</v>
      </c>
      <c r="IUI11" s="93">
        <v>2.5</v>
      </c>
      <c r="IVC11" s="94" t="s">
        <v>141</v>
      </c>
      <c r="IVN11" s="93">
        <v>2</v>
      </c>
      <c r="IVO11" s="93">
        <v>2.5</v>
      </c>
      <c r="IWI11" s="94" t="s">
        <v>141</v>
      </c>
      <c r="IWT11" s="93">
        <v>2</v>
      </c>
      <c r="IWU11" s="93">
        <v>2.5</v>
      </c>
      <c r="IXO11" s="94" t="s">
        <v>141</v>
      </c>
      <c r="IXZ11" s="93">
        <v>2</v>
      </c>
      <c r="IYA11" s="93">
        <v>2.5</v>
      </c>
      <c r="IYU11" s="94" t="s">
        <v>141</v>
      </c>
      <c r="IZF11" s="93">
        <v>2</v>
      </c>
      <c r="IZG11" s="93">
        <v>2.5</v>
      </c>
      <c r="JAA11" s="94" t="s">
        <v>141</v>
      </c>
      <c r="JAL11" s="93">
        <v>2</v>
      </c>
      <c r="JAM11" s="93">
        <v>2.5</v>
      </c>
      <c r="JBG11" s="94" t="s">
        <v>141</v>
      </c>
      <c r="JBR11" s="93">
        <v>2</v>
      </c>
      <c r="JBS11" s="93">
        <v>2.5</v>
      </c>
      <c r="JCM11" s="94" t="s">
        <v>141</v>
      </c>
      <c r="JCX11" s="93">
        <v>2</v>
      </c>
      <c r="JCY11" s="93">
        <v>2.5</v>
      </c>
      <c r="JDS11" s="94" t="s">
        <v>141</v>
      </c>
      <c r="JED11" s="93">
        <v>2</v>
      </c>
      <c r="JEE11" s="93">
        <v>2.5</v>
      </c>
      <c r="JEY11" s="94" t="s">
        <v>141</v>
      </c>
      <c r="JFJ11" s="93">
        <v>2</v>
      </c>
      <c r="JFK11" s="93">
        <v>2.5</v>
      </c>
      <c r="JGE11" s="94" t="s">
        <v>141</v>
      </c>
      <c r="JGP11" s="93">
        <v>2</v>
      </c>
      <c r="JGQ11" s="93">
        <v>2.5</v>
      </c>
      <c r="JHK11" s="94" t="s">
        <v>141</v>
      </c>
      <c r="JHV11" s="93">
        <v>2</v>
      </c>
      <c r="JHW11" s="93">
        <v>2.5</v>
      </c>
      <c r="JIQ11" s="94" t="s">
        <v>141</v>
      </c>
      <c r="JJB11" s="93">
        <v>2</v>
      </c>
      <c r="JJC11" s="93">
        <v>2.5</v>
      </c>
      <c r="JJW11" s="94" t="s">
        <v>141</v>
      </c>
      <c r="JKH11" s="93">
        <v>2</v>
      </c>
      <c r="JKI11" s="93">
        <v>2.5</v>
      </c>
      <c r="JLC11" s="94" t="s">
        <v>141</v>
      </c>
      <c r="JLN11" s="93">
        <v>2</v>
      </c>
      <c r="JLO11" s="93">
        <v>2.5</v>
      </c>
      <c r="JMI11" s="94" t="s">
        <v>141</v>
      </c>
      <c r="JMT11" s="93">
        <v>2</v>
      </c>
      <c r="JMU11" s="93">
        <v>2.5</v>
      </c>
      <c r="JNO11" s="94" t="s">
        <v>141</v>
      </c>
      <c r="JNZ11" s="93">
        <v>2</v>
      </c>
      <c r="JOA11" s="93">
        <v>2.5</v>
      </c>
      <c r="JOU11" s="94" t="s">
        <v>141</v>
      </c>
      <c r="JPF11" s="93">
        <v>2</v>
      </c>
      <c r="JPG11" s="93">
        <v>2.5</v>
      </c>
      <c r="JQA11" s="94" t="s">
        <v>141</v>
      </c>
      <c r="JQL11" s="93">
        <v>2</v>
      </c>
      <c r="JQM11" s="93">
        <v>2.5</v>
      </c>
      <c r="JRG11" s="94" t="s">
        <v>141</v>
      </c>
      <c r="JRR11" s="93">
        <v>2</v>
      </c>
      <c r="JRS11" s="93">
        <v>2.5</v>
      </c>
      <c r="JSM11" s="94" t="s">
        <v>141</v>
      </c>
      <c r="JSX11" s="93">
        <v>2</v>
      </c>
      <c r="JSY11" s="93">
        <v>2.5</v>
      </c>
      <c r="JTS11" s="94" t="s">
        <v>141</v>
      </c>
      <c r="JUD11" s="93">
        <v>2</v>
      </c>
      <c r="JUE11" s="93">
        <v>2.5</v>
      </c>
      <c r="JUY11" s="94" t="s">
        <v>141</v>
      </c>
      <c r="JVJ11" s="93">
        <v>2</v>
      </c>
      <c r="JVK11" s="93">
        <v>2.5</v>
      </c>
      <c r="JWE11" s="94" t="s">
        <v>141</v>
      </c>
      <c r="JWP11" s="93">
        <v>2</v>
      </c>
      <c r="JWQ11" s="93">
        <v>2.5</v>
      </c>
      <c r="JXK11" s="94" t="s">
        <v>141</v>
      </c>
      <c r="JXV11" s="93">
        <v>2</v>
      </c>
      <c r="JXW11" s="93">
        <v>2.5</v>
      </c>
      <c r="JYQ11" s="94" t="s">
        <v>141</v>
      </c>
      <c r="JZB11" s="93">
        <v>2</v>
      </c>
      <c r="JZC11" s="93">
        <v>2.5</v>
      </c>
      <c r="JZW11" s="94" t="s">
        <v>141</v>
      </c>
      <c r="KAH11" s="93">
        <v>2</v>
      </c>
      <c r="KAI11" s="93">
        <v>2.5</v>
      </c>
      <c r="KBC11" s="94" t="s">
        <v>141</v>
      </c>
      <c r="KBN11" s="93">
        <v>2</v>
      </c>
      <c r="KBO11" s="93">
        <v>2.5</v>
      </c>
      <c r="KCI11" s="94" t="s">
        <v>141</v>
      </c>
      <c r="KCT11" s="93">
        <v>2</v>
      </c>
      <c r="KCU11" s="93">
        <v>2.5</v>
      </c>
      <c r="KDO11" s="94" t="s">
        <v>141</v>
      </c>
      <c r="KDZ11" s="93">
        <v>2</v>
      </c>
      <c r="KEA11" s="93">
        <v>2.5</v>
      </c>
      <c r="KEU11" s="94" t="s">
        <v>141</v>
      </c>
      <c r="KFF11" s="93">
        <v>2</v>
      </c>
      <c r="KFG11" s="93">
        <v>2.5</v>
      </c>
      <c r="KGA11" s="94" t="s">
        <v>141</v>
      </c>
      <c r="KGL11" s="93">
        <v>2</v>
      </c>
      <c r="KGM11" s="93">
        <v>2.5</v>
      </c>
      <c r="KHG11" s="94" t="s">
        <v>141</v>
      </c>
      <c r="KHR11" s="93">
        <v>2</v>
      </c>
      <c r="KHS11" s="93">
        <v>2.5</v>
      </c>
      <c r="KIM11" s="94" t="s">
        <v>141</v>
      </c>
      <c r="KIX11" s="93">
        <v>2</v>
      </c>
      <c r="KIY11" s="93">
        <v>2.5</v>
      </c>
      <c r="KJS11" s="94" t="s">
        <v>141</v>
      </c>
      <c r="KKD11" s="93">
        <v>2</v>
      </c>
      <c r="KKE11" s="93">
        <v>2.5</v>
      </c>
      <c r="KKY11" s="94" t="s">
        <v>141</v>
      </c>
      <c r="KLJ11" s="93">
        <v>2</v>
      </c>
      <c r="KLK11" s="93">
        <v>2.5</v>
      </c>
      <c r="KME11" s="94" t="s">
        <v>141</v>
      </c>
      <c r="KMP11" s="93">
        <v>2</v>
      </c>
      <c r="KMQ11" s="93">
        <v>2.5</v>
      </c>
      <c r="KNK11" s="94" t="s">
        <v>141</v>
      </c>
      <c r="KNV11" s="93">
        <v>2</v>
      </c>
      <c r="KNW11" s="93">
        <v>2.5</v>
      </c>
      <c r="KOQ11" s="94" t="s">
        <v>141</v>
      </c>
      <c r="KPB11" s="93">
        <v>2</v>
      </c>
      <c r="KPC11" s="93">
        <v>2.5</v>
      </c>
      <c r="KPW11" s="94" t="s">
        <v>141</v>
      </c>
      <c r="KQH11" s="93">
        <v>2</v>
      </c>
      <c r="KQI11" s="93">
        <v>2.5</v>
      </c>
      <c r="KRC11" s="94" t="s">
        <v>141</v>
      </c>
      <c r="KRN11" s="93">
        <v>2</v>
      </c>
      <c r="KRO11" s="93">
        <v>2.5</v>
      </c>
      <c r="KSI11" s="94" t="s">
        <v>141</v>
      </c>
      <c r="KST11" s="93">
        <v>2</v>
      </c>
      <c r="KSU11" s="93">
        <v>2.5</v>
      </c>
      <c r="KTO11" s="94" t="s">
        <v>141</v>
      </c>
      <c r="KTZ11" s="93">
        <v>2</v>
      </c>
      <c r="KUA11" s="93">
        <v>2.5</v>
      </c>
      <c r="KUU11" s="94" t="s">
        <v>141</v>
      </c>
      <c r="KVF11" s="93">
        <v>2</v>
      </c>
      <c r="KVG11" s="93">
        <v>2.5</v>
      </c>
      <c r="KWA11" s="94" t="s">
        <v>141</v>
      </c>
      <c r="KWL11" s="93">
        <v>2</v>
      </c>
      <c r="KWM11" s="93">
        <v>2.5</v>
      </c>
      <c r="KXG11" s="94" t="s">
        <v>141</v>
      </c>
      <c r="KXR11" s="93">
        <v>2</v>
      </c>
      <c r="KXS11" s="93">
        <v>2.5</v>
      </c>
      <c r="KYM11" s="94" t="s">
        <v>141</v>
      </c>
      <c r="KYX11" s="93">
        <v>2</v>
      </c>
      <c r="KYY11" s="93">
        <v>2.5</v>
      </c>
      <c r="KZS11" s="94" t="s">
        <v>141</v>
      </c>
      <c r="LAD11" s="93">
        <v>2</v>
      </c>
      <c r="LAE11" s="93">
        <v>2.5</v>
      </c>
      <c r="LAY11" s="94" t="s">
        <v>141</v>
      </c>
      <c r="LBJ11" s="93">
        <v>2</v>
      </c>
      <c r="LBK11" s="93">
        <v>2.5</v>
      </c>
      <c r="LCE11" s="94" t="s">
        <v>141</v>
      </c>
      <c r="LCP11" s="93">
        <v>2</v>
      </c>
      <c r="LCQ11" s="93">
        <v>2.5</v>
      </c>
      <c r="LDK11" s="94" t="s">
        <v>141</v>
      </c>
      <c r="LDV11" s="93">
        <v>2</v>
      </c>
      <c r="LDW11" s="93">
        <v>2.5</v>
      </c>
      <c r="LEQ11" s="94" t="s">
        <v>141</v>
      </c>
      <c r="LFB11" s="93">
        <v>2</v>
      </c>
      <c r="LFC11" s="93">
        <v>2.5</v>
      </c>
      <c r="LFW11" s="94" t="s">
        <v>141</v>
      </c>
      <c r="LGH11" s="93">
        <v>2</v>
      </c>
      <c r="LGI11" s="93">
        <v>2.5</v>
      </c>
      <c r="LHC11" s="94" t="s">
        <v>141</v>
      </c>
      <c r="LHN11" s="93">
        <v>2</v>
      </c>
      <c r="LHO11" s="93">
        <v>2.5</v>
      </c>
      <c r="LII11" s="94" t="s">
        <v>141</v>
      </c>
      <c r="LIT11" s="93">
        <v>2</v>
      </c>
      <c r="LIU11" s="93">
        <v>2.5</v>
      </c>
      <c r="LJO11" s="94" t="s">
        <v>141</v>
      </c>
      <c r="LJZ11" s="93">
        <v>2</v>
      </c>
      <c r="LKA11" s="93">
        <v>2.5</v>
      </c>
      <c r="LKU11" s="94" t="s">
        <v>141</v>
      </c>
      <c r="LLF11" s="93">
        <v>2</v>
      </c>
      <c r="LLG11" s="93">
        <v>2.5</v>
      </c>
      <c r="LMA11" s="94" t="s">
        <v>141</v>
      </c>
      <c r="LML11" s="93">
        <v>2</v>
      </c>
      <c r="LMM11" s="93">
        <v>2.5</v>
      </c>
      <c r="LNG11" s="94" t="s">
        <v>141</v>
      </c>
      <c r="LNR11" s="93">
        <v>2</v>
      </c>
      <c r="LNS11" s="93">
        <v>2.5</v>
      </c>
      <c r="LOM11" s="94" t="s">
        <v>141</v>
      </c>
      <c r="LOX11" s="93">
        <v>2</v>
      </c>
      <c r="LOY11" s="93">
        <v>2.5</v>
      </c>
      <c r="LPS11" s="94" t="s">
        <v>141</v>
      </c>
      <c r="LQD11" s="93">
        <v>2</v>
      </c>
      <c r="LQE11" s="93">
        <v>2.5</v>
      </c>
      <c r="LQY11" s="94" t="s">
        <v>141</v>
      </c>
      <c r="LRJ11" s="93">
        <v>2</v>
      </c>
      <c r="LRK11" s="93">
        <v>2.5</v>
      </c>
      <c r="LSE11" s="94" t="s">
        <v>141</v>
      </c>
      <c r="LSP11" s="93">
        <v>2</v>
      </c>
      <c r="LSQ11" s="93">
        <v>2.5</v>
      </c>
      <c r="LTK11" s="94" t="s">
        <v>141</v>
      </c>
      <c r="LTV11" s="93">
        <v>2</v>
      </c>
      <c r="LTW11" s="93">
        <v>2.5</v>
      </c>
      <c r="LUQ11" s="94" t="s">
        <v>141</v>
      </c>
      <c r="LVB11" s="93">
        <v>2</v>
      </c>
      <c r="LVC11" s="93">
        <v>2.5</v>
      </c>
      <c r="LVW11" s="94" t="s">
        <v>141</v>
      </c>
      <c r="LWH11" s="93">
        <v>2</v>
      </c>
      <c r="LWI11" s="93">
        <v>2.5</v>
      </c>
      <c r="LXC11" s="94" t="s">
        <v>141</v>
      </c>
      <c r="LXN11" s="93">
        <v>2</v>
      </c>
      <c r="LXO11" s="93">
        <v>2.5</v>
      </c>
      <c r="LYI11" s="94" t="s">
        <v>141</v>
      </c>
      <c r="LYT11" s="93">
        <v>2</v>
      </c>
      <c r="LYU11" s="93">
        <v>2.5</v>
      </c>
      <c r="LZO11" s="94" t="s">
        <v>141</v>
      </c>
      <c r="LZZ11" s="93">
        <v>2</v>
      </c>
      <c r="MAA11" s="93">
        <v>2.5</v>
      </c>
      <c r="MAU11" s="94" t="s">
        <v>141</v>
      </c>
      <c r="MBF11" s="93">
        <v>2</v>
      </c>
      <c r="MBG11" s="93">
        <v>2.5</v>
      </c>
      <c r="MCA11" s="94" t="s">
        <v>141</v>
      </c>
      <c r="MCL11" s="93">
        <v>2</v>
      </c>
      <c r="MCM11" s="93">
        <v>2.5</v>
      </c>
      <c r="MDG11" s="94" t="s">
        <v>141</v>
      </c>
      <c r="MDR11" s="93">
        <v>2</v>
      </c>
      <c r="MDS11" s="93">
        <v>2.5</v>
      </c>
      <c r="MEM11" s="94" t="s">
        <v>141</v>
      </c>
      <c r="MEX11" s="93">
        <v>2</v>
      </c>
      <c r="MEY11" s="93">
        <v>2.5</v>
      </c>
      <c r="MFS11" s="94" t="s">
        <v>141</v>
      </c>
      <c r="MGD11" s="93">
        <v>2</v>
      </c>
      <c r="MGE11" s="93">
        <v>2.5</v>
      </c>
      <c r="MGY11" s="94" t="s">
        <v>141</v>
      </c>
      <c r="MHJ11" s="93">
        <v>2</v>
      </c>
      <c r="MHK11" s="93">
        <v>2.5</v>
      </c>
      <c r="MIE11" s="94" t="s">
        <v>141</v>
      </c>
      <c r="MIP11" s="93">
        <v>2</v>
      </c>
      <c r="MIQ11" s="93">
        <v>2.5</v>
      </c>
      <c r="MJK11" s="94" t="s">
        <v>141</v>
      </c>
      <c r="MJV11" s="93">
        <v>2</v>
      </c>
      <c r="MJW11" s="93">
        <v>2.5</v>
      </c>
      <c r="MKQ11" s="94" t="s">
        <v>141</v>
      </c>
      <c r="MLB11" s="93">
        <v>2</v>
      </c>
      <c r="MLC11" s="93">
        <v>2.5</v>
      </c>
      <c r="MLW11" s="94" t="s">
        <v>141</v>
      </c>
      <c r="MMH11" s="93">
        <v>2</v>
      </c>
      <c r="MMI11" s="93">
        <v>2.5</v>
      </c>
      <c r="MNC11" s="94" t="s">
        <v>141</v>
      </c>
      <c r="MNN11" s="93">
        <v>2</v>
      </c>
      <c r="MNO11" s="93">
        <v>2.5</v>
      </c>
      <c r="MOI11" s="94" t="s">
        <v>141</v>
      </c>
      <c r="MOT11" s="93">
        <v>2</v>
      </c>
      <c r="MOU11" s="93">
        <v>2.5</v>
      </c>
      <c r="MPO11" s="94" t="s">
        <v>141</v>
      </c>
      <c r="MPZ11" s="93">
        <v>2</v>
      </c>
      <c r="MQA11" s="93">
        <v>2.5</v>
      </c>
      <c r="MQU11" s="94" t="s">
        <v>141</v>
      </c>
      <c r="MRF11" s="93">
        <v>2</v>
      </c>
      <c r="MRG11" s="93">
        <v>2.5</v>
      </c>
      <c r="MSA11" s="94" t="s">
        <v>141</v>
      </c>
      <c r="MSL11" s="93">
        <v>2</v>
      </c>
      <c r="MSM11" s="93">
        <v>2.5</v>
      </c>
      <c r="MTG11" s="94" t="s">
        <v>141</v>
      </c>
      <c r="MTR11" s="93">
        <v>2</v>
      </c>
      <c r="MTS11" s="93">
        <v>2.5</v>
      </c>
      <c r="MUM11" s="94" t="s">
        <v>141</v>
      </c>
      <c r="MUX11" s="93">
        <v>2</v>
      </c>
      <c r="MUY11" s="93">
        <v>2.5</v>
      </c>
      <c r="MVS11" s="94" t="s">
        <v>141</v>
      </c>
      <c r="MWD11" s="93">
        <v>2</v>
      </c>
      <c r="MWE11" s="93">
        <v>2.5</v>
      </c>
      <c r="MWY11" s="94" t="s">
        <v>141</v>
      </c>
      <c r="MXJ11" s="93">
        <v>2</v>
      </c>
      <c r="MXK11" s="93">
        <v>2.5</v>
      </c>
      <c r="MYE11" s="94" t="s">
        <v>141</v>
      </c>
      <c r="MYP11" s="93">
        <v>2</v>
      </c>
      <c r="MYQ11" s="93">
        <v>2.5</v>
      </c>
      <c r="MZK11" s="94" t="s">
        <v>141</v>
      </c>
      <c r="MZV11" s="93">
        <v>2</v>
      </c>
      <c r="MZW11" s="93">
        <v>2.5</v>
      </c>
      <c r="NAQ11" s="94" t="s">
        <v>141</v>
      </c>
      <c r="NBB11" s="93">
        <v>2</v>
      </c>
      <c r="NBC11" s="93">
        <v>2.5</v>
      </c>
      <c r="NBW11" s="94" t="s">
        <v>141</v>
      </c>
      <c r="NCH11" s="93">
        <v>2</v>
      </c>
      <c r="NCI11" s="93">
        <v>2.5</v>
      </c>
      <c r="NDC11" s="94" t="s">
        <v>141</v>
      </c>
      <c r="NDN11" s="93">
        <v>2</v>
      </c>
      <c r="NDO11" s="93">
        <v>2.5</v>
      </c>
      <c r="NEI11" s="94" t="s">
        <v>141</v>
      </c>
      <c r="NET11" s="93">
        <v>2</v>
      </c>
      <c r="NEU11" s="93">
        <v>2.5</v>
      </c>
      <c r="NFO11" s="94" t="s">
        <v>141</v>
      </c>
      <c r="NFZ11" s="93">
        <v>2</v>
      </c>
      <c r="NGA11" s="93">
        <v>2.5</v>
      </c>
      <c r="NGU11" s="94" t="s">
        <v>141</v>
      </c>
      <c r="NHF11" s="93">
        <v>2</v>
      </c>
      <c r="NHG11" s="93">
        <v>2.5</v>
      </c>
      <c r="NIA11" s="94" t="s">
        <v>141</v>
      </c>
      <c r="NIL11" s="93">
        <v>2</v>
      </c>
      <c r="NIM11" s="93">
        <v>2.5</v>
      </c>
      <c r="NJG11" s="94" t="s">
        <v>141</v>
      </c>
      <c r="NJR11" s="93">
        <v>2</v>
      </c>
      <c r="NJS11" s="93">
        <v>2.5</v>
      </c>
      <c r="NKM11" s="94" t="s">
        <v>141</v>
      </c>
      <c r="NKX11" s="93">
        <v>2</v>
      </c>
      <c r="NKY11" s="93">
        <v>2.5</v>
      </c>
      <c r="NLS11" s="94" t="s">
        <v>141</v>
      </c>
      <c r="NMD11" s="93">
        <v>2</v>
      </c>
      <c r="NME11" s="93">
        <v>2.5</v>
      </c>
      <c r="NMY11" s="94" t="s">
        <v>141</v>
      </c>
      <c r="NNJ11" s="93">
        <v>2</v>
      </c>
      <c r="NNK11" s="93">
        <v>2.5</v>
      </c>
      <c r="NOE11" s="94" t="s">
        <v>141</v>
      </c>
      <c r="NOP11" s="93">
        <v>2</v>
      </c>
      <c r="NOQ11" s="93">
        <v>2.5</v>
      </c>
      <c r="NPK11" s="94" t="s">
        <v>141</v>
      </c>
      <c r="NPV11" s="93">
        <v>2</v>
      </c>
      <c r="NPW11" s="93">
        <v>2.5</v>
      </c>
      <c r="NQQ11" s="94" t="s">
        <v>141</v>
      </c>
      <c r="NRB11" s="93">
        <v>2</v>
      </c>
      <c r="NRC11" s="93">
        <v>2.5</v>
      </c>
      <c r="NRW11" s="94" t="s">
        <v>141</v>
      </c>
      <c r="NSH11" s="93">
        <v>2</v>
      </c>
      <c r="NSI11" s="93">
        <v>2.5</v>
      </c>
      <c r="NTC11" s="94" t="s">
        <v>141</v>
      </c>
      <c r="NTN11" s="93">
        <v>2</v>
      </c>
      <c r="NTO11" s="93">
        <v>2.5</v>
      </c>
      <c r="NUI11" s="94" t="s">
        <v>141</v>
      </c>
      <c r="NUT11" s="93">
        <v>2</v>
      </c>
      <c r="NUU11" s="93">
        <v>2.5</v>
      </c>
      <c r="NVO11" s="94" t="s">
        <v>141</v>
      </c>
      <c r="NVZ11" s="93">
        <v>2</v>
      </c>
      <c r="NWA11" s="93">
        <v>2.5</v>
      </c>
      <c r="NWU11" s="94" t="s">
        <v>141</v>
      </c>
      <c r="NXF11" s="93">
        <v>2</v>
      </c>
      <c r="NXG11" s="93">
        <v>2.5</v>
      </c>
      <c r="NYA11" s="94" t="s">
        <v>141</v>
      </c>
      <c r="NYL11" s="93">
        <v>2</v>
      </c>
      <c r="NYM11" s="93">
        <v>2.5</v>
      </c>
      <c r="NZG11" s="94" t="s">
        <v>141</v>
      </c>
      <c r="NZR11" s="93">
        <v>2</v>
      </c>
      <c r="NZS11" s="93">
        <v>2.5</v>
      </c>
      <c r="OAM11" s="94" t="s">
        <v>141</v>
      </c>
      <c r="OAX11" s="93">
        <v>2</v>
      </c>
      <c r="OAY11" s="93">
        <v>2.5</v>
      </c>
      <c r="OBS11" s="94" t="s">
        <v>141</v>
      </c>
      <c r="OCD11" s="93">
        <v>2</v>
      </c>
      <c r="OCE11" s="93">
        <v>2.5</v>
      </c>
      <c r="OCY11" s="94" t="s">
        <v>141</v>
      </c>
      <c r="ODJ11" s="93">
        <v>2</v>
      </c>
      <c r="ODK11" s="93">
        <v>2.5</v>
      </c>
      <c r="OEE11" s="94" t="s">
        <v>141</v>
      </c>
      <c r="OEP11" s="93">
        <v>2</v>
      </c>
      <c r="OEQ11" s="93">
        <v>2.5</v>
      </c>
      <c r="OFK11" s="94" t="s">
        <v>141</v>
      </c>
      <c r="OFV11" s="93">
        <v>2</v>
      </c>
      <c r="OFW11" s="93">
        <v>2.5</v>
      </c>
      <c r="OGQ11" s="94" t="s">
        <v>141</v>
      </c>
      <c r="OHB11" s="93">
        <v>2</v>
      </c>
      <c r="OHC11" s="93">
        <v>2.5</v>
      </c>
      <c r="OHW11" s="94" t="s">
        <v>141</v>
      </c>
      <c r="OIH11" s="93">
        <v>2</v>
      </c>
      <c r="OII11" s="93">
        <v>2.5</v>
      </c>
      <c r="OJC11" s="94" t="s">
        <v>141</v>
      </c>
      <c r="OJN11" s="93">
        <v>2</v>
      </c>
      <c r="OJO11" s="93">
        <v>2.5</v>
      </c>
      <c r="OKI11" s="94" t="s">
        <v>141</v>
      </c>
      <c r="OKT11" s="93">
        <v>2</v>
      </c>
      <c r="OKU11" s="93">
        <v>2.5</v>
      </c>
      <c r="OLO11" s="94" t="s">
        <v>141</v>
      </c>
      <c r="OLZ11" s="93">
        <v>2</v>
      </c>
      <c r="OMA11" s="93">
        <v>2.5</v>
      </c>
      <c r="OMU11" s="94" t="s">
        <v>141</v>
      </c>
      <c r="ONF11" s="93">
        <v>2</v>
      </c>
      <c r="ONG11" s="93">
        <v>2.5</v>
      </c>
      <c r="OOA11" s="94" t="s">
        <v>141</v>
      </c>
      <c r="OOL11" s="93">
        <v>2</v>
      </c>
      <c r="OOM11" s="93">
        <v>2.5</v>
      </c>
      <c r="OPG11" s="94" t="s">
        <v>141</v>
      </c>
      <c r="OPR11" s="93">
        <v>2</v>
      </c>
      <c r="OPS11" s="93">
        <v>2.5</v>
      </c>
      <c r="OQM11" s="94" t="s">
        <v>141</v>
      </c>
      <c r="OQX11" s="93">
        <v>2</v>
      </c>
      <c r="OQY11" s="93">
        <v>2.5</v>
      </c>
      <c r="ORS11" s="94" t="s">
        <v>141</v>
      </c>
      <c r="OSD11" s="93">
        <v>2</v>
      </c>
      <c r="OSE11" s="93">
        <v>2.5</v>
      </c>
      <c r="OSY11" s="94" t="s">
        <v>141</v>
      </c>
      <c r="OTJ11" s="93">
        <v>2</v>
      </c>
      <c r="OTK11" s="93">
        <v>2.5</v>
      </c>
      <c r="OUE11" s="94" t="s">
        <v>141</v>
      </c>
      <c r="OUP11" s="93">
        <v>2</v>
      </c>
      <c r="OUQ11" s="93">
        <v>2.5</v>
      </c>
      <c r="OVK11" s="94" t="s">
        <v>141</v>
      </c>
      <c r="OVV11" s="93">
        <v>2</v>
      </c>
      <c r="OVW11" s="93">
        <v>2.5</v>
      </c>
      <c r="OWQ11" s="94" t="s">
        <v>141</v>
      </c>
      <c r="OXB11" s="93">
        <v>2</v>
      </c>
      <c r="OXC11" s="93">
        <v>2.5</v>
      </c>
      <c r="OXW11" s="94" t="s">
        <v>141</v>
      </c>
      <c r="OYH11" s="93">
        <v>2</v>
      </c>
      <c r="OYI11" s="93">
        <v>2.5</v>
      </c>
      <c r="OZC11" s="94" t="s">
        <v>141</v>
      </c>
      <c r="OZN11" s="93">
        <v>2</v>
      </c>
      <c r="OZO11" s="93">
        <v>2.5</v>
      </c>
      <c r="PAI11" s="94" t="s">
        <v>141</v>
      </c>
      <c r="PAT11" s="93">
        <v>2</v>
      </c>
      <c r="PAU11" s="93">
        <v>2.5</v>
      </c>
      <c r="PBO11" s="94" t="s">
        <v>141</v>
      </c>
      <c r="PBZ11" s="93">
        <v>2</v>
      </c>
      <c r="PCA11" s="93">
        <v>2.5</v>
      </c>
      <c r="PCU11" s="94" t="s">
        <v>141</v>
      </c>
      <c r="PDF11" s="93">
        <v>2</v>
      </c>
      <c r="PDG11" s="93">
        <v>2.5</v>
      </c>
      <c r="PEA11" s="94" t="s">
        <v>141</v>
      </c>
      <c r="PEL11" s="93">
        <v>2</v>
      </c>
      <c r="PEM11" s="93">
        <v>2.5</v>
      </c>
      <c r="PFG11" s="94" t="s">
        <v>141</v>
      </c>
      <c r="PFR11" s="93">
        <v>2</v>
      </c>
      <c r="PFS11" s="93">
        <v>2.5</v>
      </c>
      <c r="PGM11" s="94" t="s">
        <v>141</v>
      </c>
      <c r="PGX11" s="93">
        <v>2</v>
      </c>
      <c r="PGY11" s="93">
        <v>2.5</v>
      </c>
      <c r="PHS11" s="94" t="s">
        <v>141</v>
      </c>
      <c r="PID11" s="93">
        <v>2</v>
      </c>
      <c r="PIE11" s="93">
        <v>2.5</v>
      </c>
      <c r="PIY11" s="94" t="s">
        <v>141</v>
      </c>
      <c r="PJJ11" s="93">
        <v>2</v>
      </c>
      <c r="PJK11" s="93">
        <v>2.5</v>
      </c>
      <c r="PKE11" s="94" t="s">
        <v>141</v>
      </c>
      <c r="PKP11" s="93">
        <v>2</v>
      </c>
      <c r="PKQ11" s="93">
        <v>2.5</v>
      </c>
      <c r="PLK11" s="94" t="s">
        <v>141</v>
      </c>
      <c r="PLV11" s="93">
        <v>2</v>
      </c>
      <c r="PLW11" s="93">
        <v>2.5</v>
      </c>
      <c r="PMQ11" s="94" t="s">
        <v>141</v>
      </c>
      <c r="PNB11" s="93">
        <v>2</v>
      </c>
      <c r="PNC11" s="93">
        <v>2.5</v>
      </c>
      <c r="PNW11" s="94" t="s">
        <v>141</v>
      </c>
      <c r="POH11" s="93">
        <v>2</v>
      </c>
      <c r="POI11" s="93">
        <v>2.5</v>
      </c>
      <c r="PPC11" s="94" t="s">
        <v>141</v>
      </c>
      <c r="PPN11" s="93">
        <v>2</v>
      </c>
      <c r="PPO11" s="93">
        <v>2.5</v>
      </c>
      <c r="PQI11" s="94" t="s">
        <v>141</v>
      </c>
      <c r="PQT11" s="93">
        <v>2</v>
      </c>
      <c r="PQU11" s="93">
        <v>2.5</v>
      </c>
      <c r="PRO11" s="94" t="s">
        <v>141</v>
      </c>
      <c r="PRZ11" s="93">
        <v>2</v>
      </c>
      <c r="PSA11" s="93">
        <v>2.5</v>
      </c>
      <c r="PSU11" s="94" t="s">
        <v>141</v>
      </c>
      <c r="PTF11" s="93">
        <v>2</v>
      </c>
      <c r="PTG11" s="93">
        <v>2.5</v>
      </c>
      <c r="PUA11" s="94" t="s">
        <v>141</v>
      </c>
      <c r="PUL11" s="93">
        <v>2</v>
      </c>
      <c r="PUM11" s="93">
        <v>2.5</v>
      </c>
      <c r="PVG11" s="94" t="s">
        <v>141</v>
      </c>
      <c r="PVR11" s="93">
        <v>2</v>
      </c>
      <c r="PVS11" s="93">
        <v>2.5</v>
      </c>
      <c r="PWM11" s="94" t="s">
        <v>141</v>
      </c>
      <c r="PWX11" s="93">
        <v>2</v>
      </c>
      <c r="PWY11" s="93">
        <v>2.5</v>
      </c>
      <c r="PXS11" s="94" t="s">
        <v>141</v>
      </c>
      <c r="PYD11" s="93">
        <v>2</v>
      </c>
      <c r="PYE11" s="93">
        <v>2.5</v>
      </c>
      <c r="PYY11" s="94" t="s">
        <v>141</v>
      </c>
      <c r="PZJ11" s="93">
        <v>2</v>
      </c>
      <c r="PZK11" s="93">
        <v>2.5</v>
      </c>
      <c r="QAE11" s="94" t="s">
        <v>141</v>
      </c>
      <c r="QAP11" s="93">
        <v>2</v>
      </c>
      <c r="QAQ11" s="93">
        <v>2.5</v>
      </c>
      <c r="QBK11" s="94" t="s">
        <v>141</v>
      </c>
      <c r="QBV11" s="93">
        <v>2</v>
      </c>
      <c r="QBW11" s="93">
        <v>2.5</v>
      </c>
      <c r="QCQ11" s="94" t="s">
        <v>141</v>
      </c>
      <c r="QDB11" s="93">
        <v>2</v>
      </c>
      <c r="QDC11" s="93">
        <v>2.5</v>
      </c>
      <c r="QDW11" s="94" t="s">
        <v>141</v>
      </c>
      <c r="QEH11" s="93">
        <v>2</v>
      </c>
      <c r="QEI11" s="93">
        <v>2.5</v>
      </c>
      <c r="QFC11" s="94" t="s">
        <v>141</v>
      </c>
      <c r="QFN11" s="93">
        <v>2</v>
      </c>
      <c r="QFO11" s="93">
        <v>2.5</v>
      </c>
      <c r="QGI11" s="94" t="s">
        <v>141</v>
      </c>
      <c r="QGT11" s="93">
        <v>2</v>
      </c>
      <c r="QGU11" s="93">
        <v>2.5</v>
      </c>
      <c r="QHO11" s="94" t="s">
        <v>141</v>
      </c>
      <c r="QHZ11" s="93">
        <v>2</v>
      </c>
      <c r="QIA11" s="93">
        <v>2.5</v>
      </c>
      <c r="QIU11" s="94" t="s">
        <v>141</v>
      </c>
      <c r="QJF11" s="93">
        <v>2</v>
      </c>
      <c r="QJG11" s="93">
        <v>2.5</v>
      </c>
      <c r="QKA11" s="94" t="s">
        <v>141</v>
      </c>
      <c r="QKL11" s="93">
        <v>2</v>
      </c>
      <c r="QKM11" s="93">
        <v>2.5</v>
      </c>
      <c r="QLG11" s="94" t="s">
        <v>141</v>
      </c>
      <c r="QLR11" s="93">
        <v>2</v>
      </c>
      <c r="QLS11" s="93">
        <v>2.5</v>
      </c>
      <c r="QMM11" s="94" t="s">
        <v>141</v>
      </c>
      <c r="QMX11" s="93">
        <v>2</v>
      </c>
      <c r="QMY11" s="93">
        <v>2.5</v>
      </c>
      <c r="QNS11" s="94" t="s">
        <v>141</v>
      </c>
      <c r="QOD11" s="93">
        <v>2</v>
      </c>
      <c r="QOE11" s="93">
        <v>2.5</v>
      </c>
      <c r="QOY11" s="94" t="s">
        <v>141</v>
      </c>
      <c r="QPJ11" s="93">
        <v>2</v>
      </c>
      <c r="QPK11" s="93">
        <v>2.5</v>
      </c>
      <c r="QQE11" s="94" t="s">
        <v>141</v>
      </c>
      <c r="QQP11" s="93">
        <v>2</v>
      </c>
      <c r="QQQ11" s="93">
        <v>2.5</v>
      </c>
      <c r="QRK11" s="94" t="s">
        <v>141</v>
      </c>
      <c r="QRV11" s="93">
        <v>2</v>
      </c>
      <c r="QRW11" s="93">
        <v>2.5</v>
      </c>
      <c r="QSQ11" s="94" t="s">
        <v>141</v>
      </c>
      <c r="QTB11" s="93">
        <v>2</v>
      </c>
      <c r="QTC11" s="93">
        <v>2.5</v>
      </c>
      <c r="QTW11" s="94" t="s">
        <v>141</v>
      </c>
      <c r="QUH11" s="93">
        <v>2</v>
      </c>
      <c r="QUI11" s="93">
        <v>2.5</v>
      </c>
      <c r="QVC11" s="94" t="s">
        <v>141</v>
      </c>
      <c r="QVN11" s="93">
        <v>2</v>
      </c>
      <c r="QVO11" s="93">
        <v>2.5</v>
      </c>
      <c r="QWI11" s="94" t="s">
        <v>141</v>
      </c>
      <c r="QWT11" s="93">
        <v>2</v>
      </c>
      <c r="QWU11" s="93">
        <v>2.5</v>
      </c>
      <c r="QXO11" s="94" t="s">
        <v>141</v>
      </c>
      <c r="QXZ11" s="93">
        <v>2</v>
      </c>
      <c r="QYA11" s="93">
        <v>2.5</v>
      </c>
      <c r="QYU11" s="94" t="s">
        <v>141</v>
      </c>
      <c r="QZF11" s="93">
        <v>2</v>
      </c>
      <c r="QZG11" s="93">
        <v>2.5</v>
      </c>
      <c r="RAA11" s="94" t="s">
        <v>141</v>
      </c>
      <c r="RAL11" s="93">
        <v>2</v>
      </c>
      <c r="RAM11" s="93">
        <v>2.5</v>
      </c>
      <c r="RBG11" s="94" t="s">
        <v>141</v>
      </c>
      <c r="RBR11" s="93">
        <v>2</v>
      </c>
      <c r="RBS11" s="93">
        <v>2.5</v>
      </c>
      <c r="RCM11" s="94" t="s">
        <v>141</v>
      </c>
      <c r="RCX11" s="93">
        <v>2</v>
      </c>
      <c r="RCY11" s="93">
        <v>2.5</v>
      </c>
      <c r="RDS11" s="94" t="s">
        <v>141</v>
      </c>
      <c r="RED11" s="93">
        <v>2</v>
      </c>
      <c r="REE11" s="93">
        <v>2.5</v>
      </c>
      <c r="REY11" s="94" t="s">
        <v>141</v>
      </c>
      <c r="RFJ11" s="93">
        <v>2</v>
      </c>
      <c r="RFK11" s="93">
        <v>2.5</v>
      </c>
      <c r="RGE11" s="94" t="s">
        <v>141</v>
      </c>
      <c r="RGP11" s="93">
        <v>2</v>
      </c>
      <c r="RGQ11" s="93">
        <v>2.5</v>
      </c>
      <c r="RHK11" s="94" t="s">
        <v>141</v>
      </c>
      <c r="RHV11" s="93">
        <v>2</v>
      </c>
      <c r="RHW11" s="93">
        <v>2.5</v>
      </c>
      <c r="RIQ11" s="94" t="s">
        <v>141</v>
      </c>
      <c r="RJB11" s="93">
        <v>2</v>
      </c>
      <c r="RJC11" s="93">
        <v>2.5</v>
      </c>
      <c r="RJW11" s="94" t="s">
        <v>141</v>
      </c>
      <c r="RKH11" s="93">
        <v>2</v>
      </c>
      <c r="RKI11" s="93">
        <v>2.5</v>
      </c>
      <c r="RLC11" s="94" t="s">
        <v>141</v>
      </c>
      <c r="RLN11" s="93">
        <v>2</v>
      </c>
      <c r="RLO11" s="93">
        <v>2.5</v>
      </c>
      <c r="RMI11" s="94" t="s">
        <v>141</v>
      </c>
      <c r="RMT11" s="93">
        <v>2</v>
      </c>
      <c r="RMU11" s="93">
        <v>2.5</v>
      </c>
      <c r="RNO11" s="94" t="s">
        <v>141</v>
      </c>
      <c r="RNZ11" s="93">
        <v>2</v>
      </c>
      <c r="ROA11" s="93">
        <v>2.5</v>
      </c>
      <c r="ROU11" s="94" t="s">
        <v>141</v>
      </c>
      <c r="RPF11" s="93">
        <v>2</v>
      </c>
      <c r="RPG11" s="93">
        <v>2.5</v>
      </c>
      <c r="RQA11" s="94" t="s">
        <v>141</v>
      </c>
      <c r="RQL11" s="93">
        <v>2</v>
      </c>
      <c r="RQM11" s="93">
        <v>2.5</v>
      </c>
      <c r="RRG11" s="94" t="s">
        <v>141</v>
      </c>
      <c r="RRR11" s="93">
        <v>2</v>
      </c>
      <c r="RRS11" s="93">
        <v>2.5</v>
      </c>
      <c r="RSM11" s="94" t="s">
        <v>141</v>
      </c>
      <c r="RSX11" s="93">
        <v>2</v>
      </c>
      <c r="RSY11" s="93">
        <v>2.5</v>
      </c>
      <c r="RTS11" s="94" t="s">
        <v>141</v>
      </c>
      <c r="RUD11" s="93">
        <v>2</v>
      </c>
      <c r="RUE11" s="93">
        <v>2.5</v>
      </c>
      <c r="RUY11" s="94" t="s">
        <v>141</v>
      </c>
      <c r="RVJ11" s="93">
        <v>2</v>
      </c>
      <c r="RVK11" s="93">
        <v>2.5</v>
      </c>
      <c r="RWE11" s="94" t="s">
        <v>141</v>
      </c>
      <c r="RWP11" s="93">
        <v>2</v>
      </c>
      <c r="RWQ11" s="93">
        <v>2.5</v>
      </c>
      <c r="RXK11" s="94" t="s">
        <v>141</v>
      </c>
      <c r="RXV11" s="93">
        <v>2</v>
      </c>
      <c r="RXW11" s="93">
        <v>2.5</v>
      </c>
      <c r="RYQ11" s="94" t="s">
        <v>141</v>
      </c>
      <c r="RZB11" s="93">
        <v>2</v>
      </c>
      <c r="RZC11" s="93">
        <v>2.5</v>
      </c>
      <c r="RZW11" s="94" t="s">
        <v>141</v>
      </c>
      <c r="SAH11" s="93">
        <v>2</v>
      </c>
      <c r="SAI11" s="93">
        <v>2.5</v>
      </c>
      <c r="SBC11" s="94" t="s">
        <v>141</v>
      </c>
      <c r="SBN11" s="93">
        <v>2</v>
      </c>
      <c r="SBO11" s="93">
        <v>2.5</v>
      </c>
      <c r="SCI11" s="94" t="s">
        <v>141</v>
      </c>
      <c r="SCT11" s="93">
        <v>2</v>
      </c>
      <c r="SCU11" s="93">
        <v>2.5</v>
      </c>
      <c r="SDO11" s="94" t="s">
        <v>141</v>
      </c>
      <c r="SDZ11" s="93">
        <v>2</v>
      </c>
      <c r="SEA11" s="93">
        <v>2.5</v>
      </c>
      <c r="SEU11" s="94" t="s">
        <v>141</v>
      </c>
      <c r="SFF11" s="93">
        <v>2</v>
      </c>
      <c r="SFG11" s="93">
        <v>2.5</v>
      </c>
      <c r="SGA11" s="94" t="s">
        <v>141</v>
      </c>
      <c r="SGL11" s="93">
        <v>2</v>
      </c>
      <c r="SGM11" s="93">
        <v>2.5</v>
      </c>
      <c r="SHG11" s="94" t="s">
        <v>141</v>
      </c>
      <c r="SHR11" s="93">
        <v>2</v>
      </c>
      <c r="SHS11" s="93">
        <v>2.5</v>
      </c>
      <c r="SIM11" s="94" t="s">
        <v>141</v>
      </c>
      <c r="SIX11" s="93">
        <v>2</v>
      </c>
      <c r="SIY11" s="93">
        <v>2.5</v>
      </c>
      <c r="SJS11" s="94" t="s">
        <v>141</v>
      </c>
      <c r="SKD11" s="93">
        <v>2</v>
      </c>
      <c r="SKE11" s="93">
        <v>2.5</v>
      </c>
      <c r="SKY11" s="94" t="s">
        <v>141</v>
      </c>
      <c r="SLJ11" s="93">
        <v>2</v>
      </c>
      <c r="SLK11" s="93">
        <v>2.5</v>
      </c>
      <c r="SME11" s="94" t="s">
        <v>141</v>
      </c>
      <c r="SMP11" s="93">
        <v>2</v>
      </c>
      <c r="SMQ11" s="93">
        <v>2.5</v>
      </c>
      <c r="SNK11" s="94" t="s">
        <v>141</v>
      </c>
      <c r="SNV11" s="93">
        <v>2</v>
      </c>
      <c r="SNW11" s="93">
        <v>2.5</v>
      </c>
      <c r="SOQ11" s="94" t="s">
        <v>141</v>
      </c>
      <c r="SPB11" s="93">
        <v>2</v>
      </c>
      <c r="SPC11" s="93">
        <v>2.5</v>
      </c>
      <c r="SPW11" s="94" t="s">
        <v>141</v>
      </c>
      <c r="SQH11" s="93">
        <v>2</v>
      </c>
      <c r="SQI11" s="93">
        <v>2.5</v>
      </c>
      <c r="SRC11" s="94" t="s">
        <v>141</v>
      </c>
      <c r="SRN11" s="93">
        <v>2</v>
      </c>
      <c r="SRO11" s="93">
        <v>2.5</v>
      </c>
      <c r="SSI11" s="94" t="s">
        <v>141</v>
      </c>
      <c r="SST11" s="93">
        <v>2</v>
      </c>
      <c r="SSU11" s="93">
        <v>2.5</v>
      </c>
      <c r="STO11" s="94" t="s">
        <v>141</v>
      </c>
      <c r="STZ11" s="93">
        <v>2</v>
      </c>
      <c r="SUA11" s="93">
        <v>2.5</v>
      </c>
      <c r="SUU11" s="94" t="s">
        <v>141</v>
      </c>
      <c r="SVF11" s="93">
        <v>2</v>
      </c>
      <c r="SVG11" s="93">
        <v>2.5</v>
      </c>
      <c r="SWA11" s="94" t="s">
        <v>141</v>
      </c>
      <c r="SWL11" s="93">
        <v>2</v>
      </c>
      <c r="SWM11" s="93">
        <v>2.5</v>
      </c>
      <c r="SXG11" s="94" t="s">
        <v>141</v>
      </c>
      <c r="SXR11" s="93">
        <v>2</v>
      </c>
      <c r="SXS11" s="93">
        <v>2.5</v>
      </c>
      <c r="SYM11" s="94" t="s">
        <v>141</v>
      </c>
      <c r="SYX11" s="93">
        <v>2</v>
      </c>
      <c r="SYY11" s="93">
        <v>2.5</v>
      </c>
      <c r="SZS11" s="94" t="s">
        <v>141</v>
      </c>
      <c r="TAD11" s="93">
        <v>2</v>
      </c>
      <c r="TAE11" s="93">
        <v>2.5</v>
      </c>
      <c r="TAY11" s="94" t="s">
        <v>141</v>
      </c>
      <c r="TBJ11" s="93">
        <v>2</v>
      </c>
      <c r="TBK11" s="93">
        <v>2.5</v>
      </c>
      <c r="TCE11" s="94" t="s">
        <v>141</v>
      </c>
      <c r="TCP11" s="93">
        <v>2</v>
      </c>
      <c r="TCQ11" s="93">
        <v>2.5</v>
      </c>
      <c r="TDK11" s="94" t="s">
        <v>141</v>
      </c>
      <c r="TDV11" s="93">
        <v>2</v>
      </c>
      <c r="TDW11" s="93">
        <v>2.5</v>
      </c>
      <c r="TEQ11" s="94" t="s">
        <v>141</v>
      </c>
      <c r="TFB11" s="93">
        <v>2</v>
      </c>
      <c r="TFC11" s="93">
        <v>2.5</v>
      </c>
      <c r="TFW11" s="94" t="s">
        <v>141</v>
      </c>
      <c r="TGH11" s="93">
        <v>2</v>
      </c>
      <c r="TGI11" s="93">
        <v>2.5</v>
      </c>
      <c r="THC11" s="94" t="s">
        <v>141</v>
      </c>
      <c r="THN11" s="93">
        <v>2</v>
      </c>
      <c r="THO11" s="93">
        <v>2.5</v>
      </c>
      <c r="TII11" s="94" t="s">
        <v>141</v>
      </c>
      <c r="TIT11" s="93">
        <v>2</v>
      </c>
      <c r="TIU11" s="93">
        <v>2.5</v>
      </c>
      <c r="TJO11" s="94" t="s">
        <v>141</v>
      </c>
      <c r="TJZ11" s="93">
        <v>2</v>
      </c>
      <c r="TKA11" s="93">
        <v>2.5</v>
      </c>
      <c r="TKU11" s="94" t="s">
        <v>141</v>
      </c>
      <c r="TLF11" s="93">
        <v>2</v>
      </c>
      <c r="TLG11" s="93">
        <v>2.5</v>
      </c>
      <c r="TMA11" s="94" t="s">
        <v>141</v>
      </c>
      <c r="TML11" s="93">
        <v>2</v>
      </c>
      <c r="TMM11" s="93">
        <v>2.5</v>
      </c>
      <c r="TNG11" s="94" t="s">
        <v>141</v>
      </c>
      <c r="TNR11" s="93">
        <v>2</v>
      </c>
      <c r="TNS11" s="93">
        <v>2.5</v>
      </c>
      <c r="TOM11" s="94" t="s">
        <v>141</v>
      </c>
      <c r="TOX11" s="93">
        <v>2</v>
      </c>
      <c r="TOY11" s="93">
        <v>2.5</v>
      </c>
      <c r="TPS11" s="94" t="s">
        <v>141</v>
      </c>
      <c r="TQD11" s="93">
        <v>2</v>
      </c>
      <c r="TQE11" s="93">
        <v>2.5</v>
      </c>
      <c r="TQY11" s="94" t="s">
        <v>141</v>
      </c>
      <c r="TRJ11" s="93">
        <v>2</v>
      </c>
      <c r="TRK11" s="93">
        <v>2.5</v>
      </c>
      <c r="TSE11" s="94" t="s">
        <v>141</v>
      </c>
      <c r="TSP11" s="93">
        <v>2</v>
      </c>
      <c r="TSQ11" s="93">
        <v>2.5</v>
      </c>
      <c r="TTK11" s="94" t="s">
        <v>141</v>
      </c>
      <c r="TTV11" s="93">
        <v>2</v>
      </c>
      <c r="TTW11" s="93">
        <v>2.5</v>
      </c>
      <c r="TUQ11" s="94" t="s">
        <v>141</v>
      </c>
      <c r="TVB11" s="93">
        <v>2</v>
      </c>
      <c r="TVC11" s="93">
        <v>2.5</v>
      </c>
      <c r="TVW11" s="94" t="s">
        <v>141</v>
      </c>
      <c r="TWH11" s="93">
        <v>2</v>
      </c>
      <c r="TWI11" s="93">
        <v>2.5</v>
      </c>
      <c r="TXC11" s="94" t="s">
        <v>141</v>
      </c>
      <c r="TXN11" s="93">
        <v>2</v>
      </c>
      <c r="TXO11" s="93">
        <v>2.5</v>
      </c>
      <c r="TYI11" s="94" t="s">
        <v>141</v>
      </c>
      <c r="TYT11" s="93">
        <v>2</v>
      </c>
      <c r="TYU11" s="93">
        <v>2.5</v>
      </c>
      <c r="TZO11" s="94" t="s">
        <v>141</v>
      </c>
      <c r="TZZ11" s="93">
        <v>2</v>
      </c>
      <c r="UAA11" s="93">
        <v>2.5</v>
      </c>
      <c r="UAU11" s="94" t="s">
        <v>141</v>
      </c>
      <c r="UBF11" s="93">
        <v>2</v>
      </c>
      <c r="UBG11" s="93">
        <v>2.5</v>
      </c>
      <c r="UCA11" s="94" t="s">
        <v>141</v>
      </c>
      <c r="UCL11" s="93">
        <v>2</v>
      </c>
      <c r="UCM11" s="93">
        <v>2.5</v>
      </c>
      <c r="UDG11" s="94" t="s">
        <v>141</v>
      </c>
      <c r="UDR11" s="93">
        <v>2</v>
      </c>
      <c r="UDS11" s="93">
        <v>2.5</v>
      </c>
      <c r="UEM11" s="94" t="s">
        <v>141</v>
      </c>
      <c r="UEX11" s="93">
        <v>2</v>
      </c>
      <c r="UEY11" s="93">
        <v>2.5</v>
      </c>
      <c r="UFS11" s="94" t="s">
        <v>141</v>
      </c>
      <c r="UGD11" s="93">
        <v>2</v>
      </c>
      <c r="UGE11" s="93">
        <v>2.5</v>
      </c>
      <c r="UGY11" s="94" t="s">
        <v>141</v>
      </c>
      <c r="UHJ11" s="93">
        <v>2</v>
      </c>
      <c r="UHK11" s="93">
        <v>2.5</v>
      </c>
      <c r="UIE11" s="94" t="s">
        <v>141</v>
      </c>
      <c r="UIP11" s="93">
        <v>2</v>
      </c>
      <c r="UIQ11" s="93">
        <v>2.5</v>
      </c>
      <c r="UJK11" s="94" t="s">
        <v>141</v>
      </c>
      <c r="UJV11" s="93">
        <v>2</v>
      </c>
      <c r="UJW11" s="93">
        <v>2.5</v>
      </c>
      <c r="UKQ11" s="94" t="s">
        <v>141</v>
      </c>
      <c r="ULB11" s="93">
        <v>2</v>
      </c>
      <c r="ULC11" s="93">
        <v>2.5</v>
      </c>
      <c r="ULW11" s="94" t="s">
        <v>141</v>
      </c>
      <c r="UMH11" s="93">
        <v>2</v>
      </c>
      <c r="UMI11" s="93">
        <v>2.5</v>
      </c>
      <c r="UNC11" s="94" t="s">
        <v>141</v>
      </c>
      <c r="UNN11" s="93">
        <v>2</v>
      </c>
      <c r="UNO11" s="93">
        <v>2.5</v>
      </c>
      <c r="UOI11" s="94" t="s">
        <v>141</v>
      </c>
      <c r="UOT11" s="93">
        <v>2</v>
      </c>
      <c r="UOU11" s="93">
        <v>2.5</v>
      </c>
      <c r="UPO11" s="94" t="s">
        <v>141</v>
      </c>
      <c r="UPZ11" s="93">
        <v>2</v>
      </c>
      <c r="UQA11" s="93">
        <v>2.5</v>
      </c>
      <c r="UQU11" s="94" t="s">
        <v>141</v>
      </c>
      <c r="URF11" s="93">
        <v>2</v>
      </c>
      <c r="URG11" s="93">
        <v>2.5</v>
      </c>
      <c r="USA11" s="94" t="s">
        <v>141</v>
      </c>
      <c r="USL11" s="93">
        <v>2</v>
      </c>
      <c r="USM11" s="93">
        <v>2.5</v>
      </c>
      <c r="UTG11" s="94" t="s">
        <v>141</v>
      </c>
      <c r="UTR11" s="93">
        <v>2</v>
      </c>
      <c r="UTS11" s="93">
        <v>2.5</v>
      </c>
      <c r="UUM11" s="94" t="s">
        <v>141</v>
      </c>
      <c r="UUX11" s="93">
        <v>2</v>
      </c>
      <c r="UUY11" s="93">
        <v>2.5</v>
      </c>
      <c r="UVS11" s="94" t="s">
        <v>141</v>
      </c>
      <c r="UWD11" s="93">
        <v>2</v>
      </c>
      <c r="UWE11" s="93">
        <v>2.5</v>
      </c>
      <c r="UWY11" s="94" t="s">
        <v>141</v>
      </c>
      <c r="UXJ11" s="93">
        <v>2</v>
      </c>
      <c r="UXK11" s="93">
        <v>2.5</v>
      </c>
      <c r="UYE11" s="94" t="s">
        <v>141</v>
      </c>
      <c r="UYP11" s="93">
        <v>2</v>
      </c>
      <c r="UYQ11" s="93">
        <v>2.5</v>
      </c>
      <c r="UZK11" s="94" t="s">
        <v>141</v>
      </c>
      <c r="UZV11" s="93">
        <v>2</v>
      </c>
      <c r="UZW11" s="93">
        <v>2.5</v>
      </c>
      <c r="VAQ11" s="94" t="s">
        <v>141</v>
      </c>
      <c r="VBB11" s="93">
        <v>2</v>
      </c>
      <c r="VBC11" s="93">
        <v>2.5</v>
      </c>
      <c r="VBW11" s="94" t="s">
        <v>141</v>
      </c>
      <c r="VCH11" s="93">
        <v>2</v>
      </c>
      <c r="VCI11" s="93">
        <v>2.5</v>
      </c>
      <c r="VDC11" s="94" t="s">
        <v>141</v>
      </c>
      <c r="VDN11" s="93">
        <v>2</v>
      </c>
      <c r="VDO11" s="93">
        <v>2.5</v>
      </c>
      <c r="VEI11" s="94" t="s">
        <v>141</v>
      </c>
      <c r="VET11" s="93">
        <v>2</v>
      </c>
      <c r="VEU11" s="93">
        <v>2.5</v>
      </c>
      <c r="VFO11" s="94" t="s">
        <v>141</v>
      </c>
      <c r="VFZ11" s="93">
        <v>2</v>
      </c>
      <c r="VGA11" s="93">
        <v>2.5</v>
      </c>
      <c r="VGU11" s="94" t="s">
        <v>141</v>
      </c>
      <c r="VHF11" s="93">
        <v>2</v>
      </c>
      <c r="VHG11" s="93">
        <v>2.5</v>
      </c>
      <c r="VIA11" s="94" t="s">
        <v>141</v>
      </c>
      <c r="VIL11" s="93">
        <v>2</v>
      </c>
      <c r="VIM11" s="93">
        <v>2.5</v>
      </c>
      <c r="VJG11" s="94" t="s">
        <v>141</v>
      </c>
      <c r="VJR11" s="93">
        <v>2</v>
      </c>
      <c r="VJS11" s="93">
        <v>2.5</v>
      </c>
      <c r="VKM11" s="94" t="s">
        <v>141</v>
      </c>
      <c r="VKX11" s="93">
        <v>2</v>
      </c>
      <c r="VKY11" s="93">
        <v>2.5</v>
      </c>
      <c r="VLS11" s="94" t="s">
        <v>141</v>
      </c>
      <c r="VMD11" s="93">
        <v>2</v>
      </c>
      <c r="VME11" s="93">
        <v>2.5</v>
      </c>
      <c r="VMY11" s="94" t="s">
        <v>141</v>
      </c>
      <c r="VNJ11" s="93">
        <v>2</v>
      </c>
      <c r="VNK11" s="93">
        <v>2.5</v>
      </c>
      <c r="VOE11" s="94" t="s">
        <v>141</v>
      </c>
      <c r="VOP11" s="93">
        <v>2</v>
      </c>
      <c r="VOQ11" s="93">
        <v>2.5</v>
      </c>
      <c r="VPK11" s="94" t="s">
        <v>141</v>
      </c>
      <c r="VPV11" s="93">
        <v>2</v>
      </c>
      <c r="VPW11" s="93">
        <v>2.5</v>
      </c>
      <c r="VQQ11" s="94" t="s">
        <v>141</v>
      </c>
      <c r="VRB11" s="93">
        <v>2</v>
      </c>
      <c r="VRC11" s="93">
        <v>2.5</v>
      </c>
      <c r="VRW11" s="94" t="s">
        <v>141</v>
      </c>
      <c r="VSH11" s="93">
        <v>2</v>
      </c>
      <c r="VSI11" s="93">
        <v>2.5</v>
      </c>
      <c r="VTC11" s="94" t="s">
        <v>141</v>
      </c>
      <c r="VTN11" s="93">
        <v>2</v>
      </c>
      <c r="VTO11" s="93">
        <v>2.5</v>
      </c>
      <c r="VUI11" s="94" t="s">
        <v>141</v>
      </c>
      <c r="VUT11" s="93">
        <v>2</v>
      </c>
      <c r="VUU11" s="93">
        <v>2.5</v>
      </c>
      <c r="VVO11" s="94" t="s">
        <v>141</v>
      </c>
      <c r="VVZ11" s="93">
        <v>2</v>
      </c>
      <c r="VWA11" s="93">
        <v>2.5</v>
      </c>
      <c r="VWU11" s="94" t="s">
        <v>141</v>
      </c>
      <c r="VXF11" s="93">
        <v>2</v>
      </c>
      <c r="VXG11" s="93">
        <v>2.5</v>
      </c>
      <c r="VYA11" s="94" t="s">
        <v>141</v>
      </c>
      <c r="VYL11" s="93">
        <v>2</v>
      </c>
      <c r="VYM11" s="93">
        <v>2.5</v>
      </c>
      <c r="VZG11" s="94" t="s">
        <v>141</v>
      </c>
      <c r="VZR11" s="93">
        <v>2</v>
      </c>
      <c r="VZS11" s="93">
        <v>2.5</v>
      </c>
      <c r="WAM11" s="94" t="s">
        <v>141</v>
      </c>
      <c r="WAX11" s="93">
        <v>2</v>
      </c>
      <c r="WAY11" s="93">
        <v>2.5</v>
      </c>
      <c r="WBS11" s="94" t="s">
        <v>141</v>
      </c>
      <c r="WCD11" s="93">
        <v>2</v>
      </c>
      <c r="WCE11" s="93">
        <v>2.5</v>
      </c>
      <c r="WCY11" s="94" t="s">
        <v>141</v>
      </c>
      <c r="WDJ11" s="93">
        <v>2</v>
      </c>
      <c r="WDK11" s="93">
        <v>2.5</v>
      </c>
      <c r="WEE11" s="94" t="s">
        <v>141</v>
      </c>
      <c r="WEP11" s="93">
        <v>2</v>
      </c>
      <c r="WEQ11" s="93">
        <v>2.5</v>
      </c>
      <c r="WFK11" s="94" t="s">
        <v>141</v>
      </c>
      <c r="WFV11" s="93">
        <v>2</v>
      </c>
      <c r="WFW11" s="93">
        <v>2.5</v>
      </c>
      <c r="WGQ11" s="94" t="s">
        <v>141</v>
      </c>
      <c r="WHB11" s="93">
        <v>2</v>
      </c>
      <c r="WHC11" s="93">
        <v>2.5</v>
      </c>
      <c r="WHW11" s="94" t="s">
        <v>141</v>
      </c>
      <c r="WIH11" s="93">
        <v>2</v>
      </c>
      <c r="WII11" s="93">
        <v>2.5</v>
      </c>
      <c r="WJC11" s="94" t="s">
        <v>141</v>
      </c>
      <c r="WJN11" s="93">
        <v>2</v>
      </c>
      <c r="WJO11" s="93">
        <v>2.5</v>
      </c>
      <c r="WKI11" s="94" t="s">
        <v>141</v>
      </c>
      <c r="WKT11" s="93">
        <v>2</v>
      </c>
      <c r="WKU11" s="93">
        <v>2.5</v>
      </c>
      <c r="WLO11" s="94" t="s">
        <v>141</v>
      </c>
      <c r="WLZ11" s="93">
        <v>2</v>
      </c>
      <c r="WMA11" s="93">
        <v>2.5</v>
      </c>
      <c r="WMU11" s="94" t="s">
        <v>141</v>
      </c>
      <c r="WNF11" s="93">
        <v>2</v>
      </c>
      <c r="WNG11" s="93">
        <v>2.5</v>
      </c>
      <c r="WOA11" s="94" t="s">
        <v>141</v>
      </c>
      <c r="WOL11" s="93">
        <v>2</v>
      </c>
      <c r="WOM11" s="93">
        <v>2.5</v>
      </c>
      <c r="WPG11" s="94" t="s">
        <v>141</v>
      </c>
      <c r="WPR11" s="93">
        <v>2</v>
      </c>
      <c r="WPS11" s="93">
        <v>2.5</v>
      </c>
      <c r="WQM11" s="94" t="s">
        <v>141</v>
      </c>
      <c r="WQX11" s="93">
        <v>2</v>
      </c>
      <c r="WQY11" s="93">
        <v>2.5</v>
      </c>
      <c r="WRS11" s="94" t="s">
        <v>141</v>
      </c>
      <c r="WSD11" s="93">
        <v>2</v>
      </c>
      <c r="WSE11" s="93">
        <v>2.5</v>
      </c>
      <c r="WSY11" s="94" t="s">
        <v>141</v>
      </c>
      <c r="WTJ11" s="93">
        <v>2</v>
      </c>
      <c r="WTK11" s="93">
        <v>2.5</v>
      </c>
      <c r="WUE11" s="94" t="s">
        <v>141</v>
      </c>
      <c r="WUP11" s="93">
        <v>2</v>
      </c>
      <c r="WUQ11" s="93">
        <v>2.5</v>
      </c>
      <c r="WVK11" s="94" t="s">
        <v>141</v>
      </c>
      <c r="WVV11" s="93">
        <v>2</v>
      </c>
      <c r="WVW11" s="93">
        <v>2.5</v>
      </c>
      <c r="WWQ11" s="94" t="s">
        <v>141</v>
      </c>
      <c r="WXB11" s="93">
        <v>2</v>
      </c>
      <c r="WXC11" s="93">
        <v>2.5</v>
      </c>
      <c r="WXW11" s="94" t="s">
        <v>141</v>
      </c>
      <c r="WYH11" s="93">
        <v>2</v>
      </c>
      <c r="WYI11" s="93">
        <v>2.5</v>
      </c>
      <c r="WZC11" s="94" t="s">
        <v>141</v>
      </c>
      <c r="WZN11" s="93">
        <v>2</v>
      </c>
      <c r="WZO11" s="93">
        <v>2.5</v>
      </c>
      <c r="XAI11" s="94" t="s">
        <v>141</v>
      </c>
      <c r="XAT11" s="93">
        <v>2</v>
      </c>
      <c r="XAU11" s="93">
        <v>2.5</v>
      </c>
      <c r="XBO11" s="94" t="s">
        <v>141</v>
      </c>
      <c r="XBZ11" s="93">
        <v>2</v>
      </c>
      <c r="XCA11" s="93">
        <v>2.5</v>
      </c>
      <c r="XCU11" s="94" t="s">
        <v>141</v>
      </c>
      <c r="XDF11" s="93">
        <v>2</v>
      </c>
      <c r="XDG11" s="93">
        <v>2.5</v>
      </c>
      <c r="XEA11" s="94" t="s">
        <v>141</v>
      </c>
      <c r="XEL11" s="93">
        <v>2</v>
      </c>
      <c r="XEM11" s="93">
        <v>2.5</v>
      </c>
    </row>
    <row r="12" spans="2:1007 1026:2031 2050:3055 3074:4079 4098:5103 5122:6127 6146:7151 7170:8175 8194:9199 9218:10223 10242:11247 11266:12271 12290:13295 13314:14319 14338:15343 15362:16367" s="94" customFormat="1">
      <c r="C12" s="94" t="s">
        <v>142</v>
      </c>
      <c r="L12" s="112"/>
      <c r="M12" s="112"/>
      <c r="N12" s="112"/>
      <c r="O12" s="112"/>
      <c r="P12" s="112"/>
      <c r="Q12" s="112"/>
      <c r="AI12" s="94" t="s">
        <v>142</v>
      </c>
      <c r="AT12" s="93">
        <v>3.3</v>
      </c>
      <c r="AU12" s="93">
        <v>3.9</v>
      </c>
      <c r="BO12" s="94" t="s">
        <v>142</v>
      </c>
      <c r="BZ12" s="93">
        <v>3.3</v>
      </c>
      <c r="CA12" s="93">
        <v>3.9</v>
      </c>
      <c r="CU12" s="94" t="s">
        <v>142</v>
      </c>
      <c r="DF12" s="93">
        <v>3.3</v>
      </c>
      <c r="DG12" s="93">
        <v>3.9</v>
      </c>
      <c r="EA12" s="94" t="s">
        <v>142</v>
      </c>
      <c r="EL12" s="93">
        <v>3.3</v>
      </c>
      <c r="EM12" s="93">
        <v>3.9</v>
      </c>
      <c r="FG12" s="94" t="s">
        <v>142</v>
      </c>
      <c r="FR12" s="93">
        <v>3.3</v>
      </c>
      <c r="FS12" s="93">
        <v>3.9</v>
      </c>
      <c r="GM12" s="94" t="s">
        <v>142</v>
      </c>
      <c r="GX12" s="93">
        <v>3.3</v>
      </c>
      <c r="GY12" s="93">
        <v>3.9</v>
      </c>
      <c r="HS12" s="94" t="s">
        <v>142</v>
      </c>
      <c r="ID12" s="93">
        <v>3.3</v>
      </c>
      <c r="IE12" s="93">
        <v>3.9</v>
      </c>
      <c r="IY12" s="94" t="s">
        <v>142</v>
      </c>
      <c r="JJ12" s="93">
        <v>3.3</v>
      </c>
      <c r="JK12" s="93">
        <v>3.9</v>
      </c>
      <c r="KE12" s="94" t="s">
        <v>142</v>
      </c>
      <c r="KP12" s="93">
        <v>3.3</v>
      </c>
      <c r="KQ12" s="93">
        <v>3.9</v>
      </c>
      <c r="LK12" s="94" t="s">
        <v>142</v>
      </c>
      <c r="LV12" s="93">
        <v>3.3</v>
      </c>
      <c r="LW12" s="93">
        <v>3.9</v>
      </c>
      <c r="MQ12" s="94" t="s">
        <v>142</v>
      </c>
      <c r="NB12" s="93">
        <v>3.3</v>
      </c>
      <c r="NC12" s="93">
        <v>3.9</v>
      </c>
      <c r="NW12" s="94" t="s">
        <v>142</v>
      </c>
      <c r="OH12" s="93">
        <v>3.3</v>
      </c>
      <c r="OI12" s="93">
        <v>3.9</v>
      </c>
      <c r="PC12" s="94" t="s">
        <v>142</v>
      </c>
      <c r="PN12" s="93">
        <v>3.3</v>
      </c>
      <c r="PO12" s="93">
        <v>3.9</v>
      </c>
      <c r="QI12" s="94" t="s">
        <v>142</v>
      </c>
      <c r="QT12" s="93">
        <v>3.3</v>
      </c>
      <c r="QU12" s="93">
        <v>3.9</v>
      </c>
      <c r="RO12" s="94" t="s">
        <v>142</v>
      </c>
      <c r="RZ12" s="93">
        <v>3.3</v>
      </c>
      <c r="SA12" s="93">
        <v>3.9</v>
      </c>
      <c r="SU12" s="94" t="s">
        <v>142</v>
      </c>
      <c r="TF12" s="93">
        <v>3.3</v>
      </c>
      <c r="TG12" s="93">
        <v>3.9</v>
      </c>
      <c r="UA12" s="94" t="s">
        <v>142</v>
      </c>
      <c r="UL12" s="93">
        <v>3.3</v>
      </c>
      <c r="UM12" s="93">
        <v>3.9</v>
      </c>
      <c r="VG12" s="94" t="s">
        <v>142</v>
      </c>
      <c r="VR12" s="93">
        <v>3.3</v>
      </c>
      <c r="VS12" s="93">
        <v>3.9</v>
      </c>
      <c r="WM12" s="94" t="s">
        <v>142</v>
      </c>
      <c r="WX12" s="93">
        <v>3.3</v>
      </c>
      <c r="WY12" s="93">
        <v>3.9</v>
      </c>
      <c r="XS12" s="94" t="s">
        <v>142</v>
      </c>
      <c r="YD12" s="93">
        <v>3.3</v>
      </c>
      <c r="YE12" s="93">
        <v>3.9</v>
      </c>
      <c r="YY12" s="94" t="s">
        <v>142</v>
      </c>
      <c r="ZJ12" s="93">
        <v>3.3</v>
      </c>
      <c r="ZK12" s="93">
        <v>3.9</v>
      </c>
      <c r="AAE12" s="94" t="s">
        <v>142</v>
      </c>
      <c r="AAP12" s="93">
        <v>3.3</v>
      </c>
      <c r="AAQ12" s="93">
        <v>3.9</v>
      </c>
      <c r="ABK12" s="94" t="s">
        <v>142</v>
      </c>
      <c r="ABV12" s="93">
        <v>3.3</v>
      </c>
      <c r="ABW12" s="93">
        <v>3.9</v>
      </c>
      <c r="ACQ12" s="94" t="s">
        <v>142</v>
      </c>
      <c r="ADB12" s="93">
        <v>3.3</v>
      </c>
      <c r="ADC12" s="93">
        <v>3.9</v>
      </c>
      <c r="ADW12" s="94" t="s">
        <v>142</v>
      </c>
      <c r="AEH12" s="93">
        <v>3.3</v>
      </c>
      <c r="AEI12" s="93">
        <v>3.9</v>
      </c>
      <c r="AFC12" s="94" t="s">
        <v>142</v>
      </c>
      <c r="AFN12" s="93">
        <v>3.3</v>
      </c>
      <c r="AFO12" s="93">
        <v>3.9</v>
      </c>
      <c r="AGI12" s="94" t="s">
        <v>142</v>
      </c>
      <c r="AGT12" s="93">
        <v>3.3</v>
      </c>
      <c r="AGU12" s="93">
        <v>3.9</v>
      </c>
      <c r="AHO12" s="94" t="s">
        <v>142</v>
      </c>
      <c r="AHZ12" s="93">
        <v>3.3</v>
      </c>
      <c r="AIA12" s="93">
        <v>3.9</v>
      </c>
      <c r="AIU12" s="94" t="s">
        <v>142</v>
      </c>
      <c r="AJF12" s="93">
        <v>3.3</v>
      </c>
      <c r="AJG12" s="93">
        <v>3.9</v>
      </c>
      <c r="AKA12" s="94" t="s">
        <v>142</v>
      </c>
      <c r="AKL12" s="93">
        <v>3.3</v>
      </c>
      <c r="AKM12" s="93">
        <v>3.9</v>
      </c>
      <c r="ALG12" s="94" t="s">
        <v>142</v>
      </c>
      <c r="ALR12" s="93">
        <v>3.3</v>
      </c>
      <c r="ALS12" s="93">
        <v>3.9</v>
      </c>
      <c r="AMM12" s="94" t="s">
        <v>142</v>
      </c>
      <c r="AMX12" s="93">
        <v>3.3</v>
      </c>
      <c r="AMY12" s="93">
        <v>3.9</v>
      </c>
      <c r="ANS12" s="94" t="s">
        <v>142</v>
      </c>
      <c r="AOD12" s="93">
        <v>3.3</v>
      </c>
      <c r="AOE12" s="93">
        <v>3.9</v>
      </c>
      <c r="AOY12" s="94" t="s">
        <v>142</v>
      </c>
      <c r="APJ12" s="93">
        <v>3.3</v>
      </c>
      <c r="APK12" s="93">
        <v>3.9</v>
      </c>
      <c r="AQE12" s="94" t="s">
        <v>142</v>
      </c>
      <c r="AQP12" s="93">
        <v>3.3</v>
      </c>
      <c r="AQQ12" s="93">
        <v>3.9</v>
      </c>
      <c r="ARK12" s="94" t="s">
        <v>142</v>
      </c>
      <c r="ARV12" s="93">
        <v>3.3</v>
      </c>
      <c r="ARW12" s="93">
        <v>3.9</v>
      </c>
      <c r="ASQ12" s="94" t="s">
        <v>142</v>
      </c>
      <c r="ATB12" s="93">
        <v>3.3</v>
      </c>
      <c r="ATC12" s="93">
        <v>3.9</v>
      </c>
      <c r="ATW12" s="94" t="s">
        <v>142</v>
      </c>
      <c r="AUH12" s="93">
        <v>3.3</v>
      </c>
      <c r="AUI12" s="93">
        <v>3.9</v>
      </c>
      <c r="AVC12" s="94" t="s">
        <v>142</v>
      </c>
      <c r="AVN12" s="93">
        <v>3.3</v>
      </c>
      <c r="AVO12" s="93">
        <v>3.9</v>
      </c>
      <c r="AWI12" s="94" t="s">
        <v>142</v>
      </c>
      <c r="AWT12" s="93">
        <v>3.3</v>
      </c>
      <c r="AWU12" s="93">
        <v>3.9</v>
      </c>
      <c r="AXO12" s="94" t="s">
        <v>142</v>
      </c>
      <c r="AXZ12" s="93">
        <v>3.3</v>
      </c>
      <c r="AYA12" s="93">
        <v>3.9</v>
      </c>
      <c r="AYU12" s="94" t="s">
        <v>142</v>
      </c>
      <c r="AZF12" s="93">
        <v>3.3</v>
      </c>
      <c r="AZG12" s="93">
        <v>3.9</v>
      </c>
      <c r="BAA12" s="94" t="s">
        <v>142</v>
      </c>
      <c r="BAL12" s="93">
        <v>3.3</v>
      </c>
      <c r="BAM12" s="93">
        <v>3.9</v>
      </c>
      <c r="BBG12" s="94" t="s">
        <v>142</v>
      </c>
      <c r="BBR12" s="93">
        <v>3.3</v>
      </c>
      <c r="BBS12" s="93">
        <v>3.9</v>
      </c>
      <c r="BCM12" s="94" t="s">
        <v>142</v>
      </c>
      <c r="BCX12" s="93">
        <v>3.3</v>
      </c>
      <c r="BCY12" s="93">
        <v>3.9</v>
      </c>
      <c r="BDS12" s="94" t="s">
        <v>142</v>
      </c>
      <c r="BED12" s="93">
        <v>3.3</v>
      </c>
      <c r="BEE12" s="93">
        <v>3.9</v>
      </c>
      <c r="BEY12" s="94" t="s">
        <v>142</v>
      </c>
      <c r="BFJ12" s="93">
        <v>3.3</v>
      </c>
      <c r="BFK12" s="93">
        <v>3.9</v>
      </c>
      <c r="BGE12" s="94" t="s">
        <v>142</v>
      </c>
      <c r="BGP12" s="93">
        <v>3.3</v>
      </c>
      <c r="BGQ12" s="93">
        <v>3.9</v>
      </c>
      <c r="BHK12" s="94" t="s">
        <v>142</v>
      </c>
      <c r="BHV12" s="93">
        <v>3.3</v>
      </c>
      <c r="BHW12" s="93">
        <v>3.9</v>
      </c>
      <c r="BIQ12" s="94" t="s">
        <v>142</v>
      </c>
      <c r="BJB12" s="93">
        <v>3.3</v>
      </c>
      <c r="BJC12" s="93">
        <v>3.9</v>
      </c>
      <c r="BJW12" s="94" t="s">
        <v>142</v>
      </c>
      <c r="BKH12" s="93">
        <v>3.3</v>
      </c>
      <c r="BKI12" s="93">
        <v>3.9</v>
      </c>
      <c r="BLC12" s="94" t="s">
        <v>142</v>
      </c>
      <c r="BLN12" s="93">
        <v>3.3</v>
      </c>
      <c r="BLO12" s="93">
        <v>3.9</v>
      </c>
      <c r="BMI12" s="94" t="s">
        <v>142</v>
      </c>
      <c r="BMT12" s="93">
        <v>3.3</v>
      </c>
      <c r="BMU12" s="93">
        <v>3.9</v>
      </c>
      <c r="BNO12" s="94" t="s">
        <v>142</v>
      </c>
      <c r="BNZ12" s="93">
        <v>3.3</v>
      </c>
      <c r="BOA12" s="93">
        <v>3.9</v>
      </c>
      <c r="BOU12" s="94" t="s">
        <v>142</v>
      </c>
      <c r="BPF12" s="93">
        <v>3.3</v>
      </c>
      <c r="BPG12" s="93">
        <v>3.9</v>
      </c>
      <c r="BQA12" s="94" t="s">
        <v>142</v>
      </c>
      <c r="BQL12" s="93">
        <v>3.3</v>
      </c>
      <c r="BQM12" s="93">
        <v>3.9</v>
      </c>
      <c r="BRG12" s="94" t="s">
        <v>142</v>
      </c>
      <c r="BRR12" s="93">
        <v>3.3</v>
      </c>
      <c r="BRS12" s="93">
        <v>3.9</v>
      </c>
      <c r="BSM12" s="94" t="s">
        <v>142</v>
      </c>
      <c r="BSX12" s="93">
        <v>3.3</v>
      </c>
      <c r="BSY12" s="93">
        <v>3.9</v>
      </c>
      <c r="BTS12" s="94" t="s">
        <v>142</v>
      </c>
      <c r="BUD12" s="93">
        <v>3.3</v>
      </c>
      <c r="BUE12" s="93">
        <v>3.9</v>
      </c>
      <c r="BUY12" s="94" t="s">
        <v>142</v>
      </c>
      <c r="BVJ12" s="93">
        <v>3.3</v>
      </c>
      <c r="BVK12" s="93">
        <v>3.9</v>
      </c>
      <c r="BWE12" s="94" t="s">
        <v>142</v>
      </c>
      <c r="BWP12" s="93">
        <v>3.3</v>
      </c>
      <c r="BWQ12" s="93">
        <v>3.9</v>
      </c>
      <c r="BXK12" s="94" t="s">
        <v>142</v>
      </c>
      <c r="BXV12" s="93">
        <v>3.3</v>
      </c>
      <c r="BXW12" s="93">
        <v>3.9</v>
      </c>
      <c r="BYQ12" s="94" t="s">
        <v>142</v>
      </c>
      <c r="BZB12" s="93">
        <v>3.3</v>
      </c>
      <c r="BZC12" s="93">
        <v>3.9</v>
      </c>
      <c r="BZW12" s="94" t="s">
        <v>142</v>
      </c>
      <c r="CAH12" s="93">
        <v>3.3</v>
      </c>
      <c r="CAI12" s="93">
        <v>3.9</v>
      </c>
      <c r="CBC12" s="94" t="s">
        <v>142</v>
      </c>
      <c r="CBN12" s="93">
        <v>3.3</v>
      </c>
      <c r="CBO12" s="93">
        <v>3.9</v>
      </c>
      <c r="CCI12" s="94" t="s">
        <v>142</v>
      </c>
      <c r="CCT12" s="93">
        <v>3.3</v>
      </c>
      <c r="CCU12" s="93">
        <v>3.9</v>
      </c>
      <c r="CDO12" s="94" t="s">
        <v>142</v>
      </c>
      <c r="CDZ12" s="93">
        <v>3.3</v>
      </c>
      <c r="CEA12" s="93">
        <v>3.9</v>
      </c>
      <c r="CEU12" s="94" t="s">
        <v>142</v>
      </c>
      <c r="CFF12" s="93">
        <v>3.3</v>
      </c>
      <c r="CFG12" s="93">
        <v>3.9</v>
      </c>
      <c r="CGA12" s="94" t="s">
        <v>142</v>
      </c>
      <c r="CGL12" s="93">
        <v>3.3</v>
      </c>
      <c r="CGM12" s="93">
        <v>3.9</v>
      </c>
      <c r="CHG12" s="94" t="s">
        <v>142</v>
      </c>
      <c r="CHR12" s="93">
        <v>3.3</v>
      </c>
      <c r="CHS12" s="93">
        <v>3.9</v>
      </c>
      <c r="CIM12" s="94" t="s">
        <v>142</v>
      </c>
      <c r="CIX12" s="93">
        <v>3.3</v>
      </c>
      <c r="CIY12" s="93">
        <v>3.9</v>
      </c>
      <c r="CJS12" s="94" t="s">
        <v>142</v>
      </c>
      <c r="CKD12" s="93">
        <v>3.3</v>
      </c>
      <c r="CKE12" s="93">
        <v>3.9</v>
      </c>
      <c r="CKY12" s="94" t="s">
        <v>142</v>
      </c>
      <c r="CLJ12" s="93">
        <v>3.3</v>
      </c>
      <c r="CLK12" s="93">
        <v>3.9</v>
      </c>
      <c r="CME12" s="94" t="s">
        <v>142</v>
      </c>
      <c r="CMP12" s="93">
        <v>3.3</v>
      </c>
      <c r="CMQ12" s="93">
        <v>3.9</v>
      </c>
      <c r="CNK12" s="94" t="s">
        <v>142</v>
      </c>
      <c r="CNV12" s="93">
        <v>3.3</v>
      </c>
      <c r="CNW12" s="93">
        <v>3.9</v>
      </c>
      <c r="COQ12" s="94" t="s">
        <v>142</v>
      </c>
      <c r="CPB12" s="93">
        <v>3.3</v>
      </c>
      <c r="CPC12" s="93">
        <v>3.9</v>
      </c>
      <c r="CPW12" s="94" t="s">
        <v>142</v>
      </c>
      <c r="CQH12" s="93">
        <v>3.3</v>
      </c>
      <c r="CQI12" s="93">
        <v>3.9</v>
      </c>
      <c r="CRC12" s="94" t="s">
        <v>142</v>
      </c>
      <c r="CRN12" s="93">
        <v>3.3</v>
      </c>
      <c r="CRO12" s="93">
        <v>3.9</v>
      </c>
      <c r="CSI12" s="94" t="s">
        <v>142</v>
      </c>
      <c r="CST12" s="93">
        <v>3.3</v>
      </c>
      <c r="CSU12" s="93">
        <v>3.9</v>
      </c>
      <c r="CTO12" s="94" t="s">
        <v>142</v>
      </c>
      <c r="CTZ12" s="93">
        <v>3.3</v>
      </c>
      <c r="CUA12" s="93">
        <v>3.9</v>
      </c>
      <c r="CUU12" s="94" t="s">
        <v>142</v>
      </c>
      <c r="CVF12" s="93">
        <v>3.3</v>
      </c>
      <c r="CVG12" s="93">
        <v>3.9</v>
      </c>
      <c r="CWA12" s="94" t="s">
        <v>142</v>
      </c>
      <c r="CWL12" s="93">
        <v>3.3</v>
      </c>
      <c r="CWM12" s="93">
        <v>3.9</v>
      </c>
      <c r="CXG12" s="94" t="s">
        <v>142</v>
      </c>
      <c r="CXR12" s="93">
        <v>3.3</v>
      </c>
      <c r="CXS12" s="93">
        <v>3.9</v>
      </c>
      <c r="CYM12" s="94" t="s">
        <v>142</v>
      </c>
      <c r="CYX12" s="93">
        <v>3.3</v>
      </c>
      <c r="CYY12" s="93">
        <v>3.9</v>
      </c>
      <c r="CZS12" s="94" t="s">
        <v>142</v>
      </c>
      <c r="DAD12" s="93">
        <v>3.3</v>
      </c>
      <c r="DAE12" s="93">
        <v>3.9</v>
      </c>
      <c r="DAY12" s="94" t="s">
        <v>142</v>
      </c>
      <c r="DBJ12" s="93">
        <v>3.3</v>
      </c>
      <c r="DBK12" s="93">
        <v>3.9</v>
      </c>
      <c r="DCE12" s="94" t="s">
        <v>142</v>
      </c>
      <c r="DCP12" s="93">
        <v>3.3</v>
      </c>
      <c r="DCQ12" s="93">
        <v>3.9</v>
      </c>
      <c r="DDK12" s="94" t="s">
        <v>142</v>
      </c>
      <c r="DDV12" s="93">
        <v>3.3</v>
      </c>
      <c r="DDW12" s="93">
        <v>3.9</v>
      </c>
      <c r="DEQ12" s="94" t="s">
        <v>142</v>
      </c>
      <c r="DFB12" s="93">
        <v>3.3</v>
      </c>
      <c r="DFC12" s="93">
        <v>3.9</v>
      </c>
      <c r="DFW12" s="94" t="s">
        <v>142</v>
      </c>
      <c r="DGH12" s="93">
        <v>3.3</v>
      </c>
      <c r="DGI12" s="93">
        <v>3.9</v>
      </c>
      <c r="DHC12" s="94" t="s">
        <v>142</v>
      </c>
      <c r="DHN12" s="93">
        <v>3.3</v>
      </c>
      <c r="DHO12" s="93">
        <v>3.9</v>
      </c>
      <c r="DII12" s="94" t="s">
        <v>142</v>
      </c>
      <c r="DIT12" s="93">
        <v>3.3</v>
      </c>
      <c r="DIU12" s="93">
        <v>3.9</v>
      </c>
      <c r="DJO12" s="94" t="s">
        <v>142</v>
      </c>
      <c r="DJZ12" s="93">
        <v>3.3</v>
      </c>
      <c r="DKA12" s="93">
        <v>3.9</v>
      </c>
      <c r="DKU12" s="94" t="s">
        <v>142</v>
      </c>
      <c r="DLF12" s="93">
        <v>3.3</v>
      </c>
      <c r="DLG12" s="93">
        <v>3.9</v>
      </c>
      <c r="DMA12" s="94" t="s">
        <v>142</v>
      </c>
      <c r="DML12" s="93">
        <v>3.3</v>
      </c>
      <c r="DMM12" s="93">
        <v>3.9</v>
      </c>
      <c r="DNG12" s="94" t="s">
        <v>142</v>
      </c>
      <c r="DNR12" s="93">
        <v>3.3</v>
      </c>
      <c r="DNS12" s="93">
        <v>3.9</v>
      </c>
      <c r="DOM12" s="94" t="s">
        <v>142</v>
      </c>
      <c r="DOX12" s="93">
        <v>3.3</v>
      </c>
      <c r="DOY12" s="93">
        <v>3.9</v>
      </c>
      <c r="DPS12" s="94" t="s">
        <v>142</v>
      </c>
      <c r="DQD12" s="93">
        <v>3.3</v>
      </c>
      <c r="DQE12" s="93">
        <v>3.9</v>
      </c>
      <c r="DQY12" s="94" t="s">
        <v>142</v>
      </c>
      <c r="DRJ12" s="93">
        <v>3.3</v>
      </c>
      <c r="DRK12" s="93">
        <v>3.9</v>
      </c>
      <c r="DSE12" s="94" t="s">
        <v>142</v>
      </c>
      <c r="DSP12" s="93">
        <v>3.3</v>
      </c>
      <c r="DSQ12" s="93">
        <v>3.9</v>
      </c>
      <c r="DTK12" s="94" t="s">
        <v>142</v>
      </c>
      <c r="DTV12" s="93">
        <v>3.3</v>
      </c>
      <c r="DTW12" s="93">
        <v>3.9</v>
      </c>
      <c r="DUQ12" s="94" t="s">
        <v>142</v>
      </c>
      <c r="DVB12" s="93">
        <v>3.3</v>
      </c>
      <c r="DVC12" s="93">
        <v>3.9</v>
      </c>
      <c r="DVW12" s="94" t="s">
        <v>142</v>
      </c>
      <c r="DWH12" s="93">
        <v>3.3</v>
      </c>
      <c r="DWI12" s="93">
        <v>3.9</v>
      </c>
      <c r="DXC12" s="94" t="s">
        <v>142</v>
      </c>
      <c r="DXN12" s="93">
        <v>3.3</v>
      </c>
      <c r="DXO12" s="93">
        <v>3.9</v>
      </c>
      <c r="DYI12" s="94" t="s">
        <v>142</v>
      </c>
      <c r="DYT12" s="93">
        <v>3.3</v>
      </c>
      <c r="DYU12" s="93">
        <v>3.9</v>
      </c>
      <c r="DZO12" s="94" t="s">
        <v>142</v>
      </c>
      <c r="DZZ12" s="93">
        <v>3.3</v>
      </c>
      <c r="EAA12" s="93">
        <v>3.9</v>
      </c>
      <c r="EAU12" s="94" t="s">
        <v>142</v>
      </c>
      <c r="EBF12" s="93">
        <v>3.3</v>
      </c>
      <c r="EBG12" s="93">
        <v>3.9</v>
      </c>
      <c r="ECA12" s="94" t="s">
        <v>142</v>
      </c>
      <c r="ECL12" s="93">
        <v>3.3</v>
      </c>
      <c r="ECM12" s="93">
        <v>3.9</v>
      </c>
      <c r="EDG12" s="94" t="s">
        <v>142</v>
      </c>
      <c r="EDR12" s="93">
        <v>3.3</v>
      </c>
      <c r="EDS12" s="93">
        <v>3.9</v>
      </c>
      <c r="EEM12" s="94" t="s">
        <v>142</v>
      </c>
      <c r="EEX12" s="93">
        <v>3.3</v>
      </c>
      <c r="EEY12" s="93">
        <v>3.9</v>
      </c>
      <c r="EFS12" s="94" t="s">
        <v>142</v>
      </c>
      <c r="EGD12" s="93">
        <v>3.3</v>
      </c>
      <c r="EGE12" s="93">
        <v>3.9</v>
      </c>
      <c r="EGY12" s="94" t="s">
        <v>142</v>
      </c>
      <c r="EHJ12" s="93">
        <v>3.3</v>
      </c>
      <c r="EHK12" s="93">
        <v>3.9</v>
      </c>
      <c r="EIE12" s="94" t="s">
        <v>142</v>
      </c>
      <c r="EIP12" s="93">
        <v>3.3</v>
      </c>
      <c r="EIQ12" s="93">
        <v>3.9</v>
      </c>
      <c r="EJK12" s="94" t="s">
        <v>142</v>
      </c>
      <c r="EJV12" s="93">
        <v>3.3</v>
      </c>
      <c r="EJW12" s="93">
        <v>3.9</v>
      </c>
      <c r="EKQ12" s="94" t="s">
        <v>142</v>
      </c>
      <c r="ELB12" s="93">
        <v>3.3</v>
      </c>
      <c r="ELC12" s="93">
        <v>3.9</v>
      </c>
      <c r="ELW12" s="94" t="s">
        <v>142</v>
      </c>
      <c r="EMH12" s="93">
        <v>3.3</v>
      </c>
      <c r="EMI12" s="93">
        <v>3.9</v>
      </c>
      <c r="ENC12" s="94" t="s">
        <v>142</v>
      </c>
      <c r="ENN12" s="93">
        <v>3.3</v>
      </c>
      <c r="ENO12" s="93">
        <v>3.9</v>
      </c>
      <c r="EOI12" s="94" t="s">
        <v>142</v>
      </c>
      <c r="EOT12" s="93">
        <v>3.3</v>
      </c>
      <c r="EOU12" s="93">
        <v>3.9</v>
      </c>
      <c r="EPO12" s="94" t="s">
        <v>142</v>
      </c>
      <c r="EPZ12" s="93">
        <v>3.3</v>
      </c>
      <c r="EQA12" s="93">
        <v>3.9</v>
      </c>
      <c r="EQU12" s="94" t="s">
        <v>142</v>
      </c>
      <c r="ERF12" s="93">
        <v>3.3</v>
      </c>
      <c r="ERG12" s="93">
        <v>3.9</v>
      </c>
      <c r="ESA12" s="94" t="s">
        <v>142</v>
      </c>
      <c r="ESL12" s="93">
        <v>3.3</v>
      </c>
      <c r="ESM12" s="93">
        <v>3.9</v>
      </c>
      <c r="ETG12" s="94" t="s">
        <v>142</v>
      </c>
      <c r="ETR12" s="93">
        <v>3.3</v>
      </c>
      <c r="ETS12" s="93">
        <v>3.9</v>
      </c>
      <c r="EUM12" s="94" t="s">
        <v>142</v>
      </c>
      <c r="EUX12" s="93">
        <v>3.3</v>
      </c>
      <c r="EUY12" s="93">
        <v>3.9</v>
      </c>
      <c r="EVS12" s="94" t="s">
        <v>142</v>
      </c>
      <c r="EWD12" s="93">
        <v>3.3</v>
      </c>
      <c r="EWE12" s="93">
        <v>3.9</v>
      </c>
      <c r="EWY12" s="94" t="s">
        <v>142</v>
      </c>
      <c r="EXJ12" s="93">
        <v>3.3</v>
      </c>
      <c r="EXK12" s="93">
        <v>3.9</v>
      </c>
      <c r="EYE12" s="94" t="s">
        <v>142</v>
      </c>
      <c r="EYP12" s="93">
        <v>3.3</v>
      </c>
      <c r="EYQ12" s="93">
        <v>3.9</v>
      </c>
      <c r="EZK12" s="94" t="s">
        <v>142</v>
      </c>
      <c r="EZV12" s="93">
        <v>3.3</v>
      </c>
      <c r="EZW12" s="93">
        <v>3.9</v>
      </c>
      <c r="FAQ12" s="94" t="s">
        <v>142</v>
      </c>
      <c r="FBB12" s="93">
        <v>3.3</v>
      </c>
      <c r="FBC12" s="93">
        <v>3.9</v>
      </c>
      <c r="FBW12" s="94" t="s">
        <v>142</v>
      </c>
      <c r="FCH12" s="93">
        <v>3.3</v>
      </c>
      <c r="FCI12" s="93">
        <v>3.9</v>
      </c>
      <c r="FDC12" s="94" t="s">
        <v>142</v>
      </c>
      <c r="FDN12" s="93">
        <v>3.3</v>
      </c>
      <c r="FDO12" s="93">
        <v>3.9</v>
      </c>
      <c r="FEI12" s="94" t="s">
        <v>142</v>
      </c>
      <c r="FET12" s="93">
        <v>3.3</v>
      </c>
      <c r="FEU12" s="93">
        <v>3.9</v>
      </c>
      <c r="FFO12" s="94" t="s">
        <v>142</v>
      </c>
      <c r="FFZ12" s="93">
        <v>3.3</v>
      </c>
      <c r="FGA12" s="93">
        <v>3.9</v>
      </c>
      <c r="FGU12" s="94" t="s">
        <v>142</v>
      </c>
      <c r="FHF12" s="93">
        <v>3.3</v>
      </c>
      <c r="FHG12" s="93">
        <v>3.9</v>
      </c>
      <c r="FIA12" s="94" t="s">
        <v>142</v>
      </c>
      <c r="FIL12" s="93">
        <v>3.3</v>
      </c>
      <c r="FIM12" s="93">
        <v>3.9</v>
      </c>
      <c r="FJG12" s="94" t="s">
        <v>142</v>
      </c>
      <c r="FJR12" s="93">
        <v>3.3</v>
      </c>
      <c r="FJS12" s="93">
        <v>3.9</v>
      </c>
      <c r="FKM12" s="94" t="s">
        <v>142</v>
      </c>
      <c r="FKX12" s="93">
        <v>3.3</v>
      </c>
      <c r="FKY12" s="93">
        <v>3.9</v>
      </c>
      <c r="FLS12" s="94" t="s">
        <v>142</v>
      </c>
      <c r="FMD12" s="93">
        <v>3.3</v>
      </c>
      <c r="FME12" s="93">
        <v>3.9</v>
      </c>
      <c r="FMY12" s="94" t="s">
        <v>142</v>
      </c>
      <c r="FNJ12" s="93">
        <v>3.3</v>
      </c>
      <c r="FNK12" s="93">
        <v>3.9</v>
      </c>
      <c r="FOE12" s="94" t="s">
        <v>142</v>
      </c>
      <c r="FOP12" s="93">
        <v>3.3</v>
      </c>
      <c r="FOQ12" s="93">
        <v>3.9</v>
      </c>
      <c r="FPK12" s="94" t="s">
        <v>142</v>
      </c>
      <c r="FPV12" s="93">
        <v>3.3</v>
      </c>
      <c r="FPW12" s="93">
        <v>3.9</v>
      </c>
      <c r="FQQ12" s="94" t="s">
        <v>142</v>
      </c>
      <c r="FRB12" s="93">
        <v>3.3</v>
      </c>
      <c r="FRC12" s="93">
        <v>3.9</v>
      </c>
      <c r="FRW12" s="94" t="s">
        <v>142</v>
      </c>
      <c r="FSH12" s="93">
        <v>3.3</v>
      </c>
      <c r="FSI12" s="93">
        <v>3.9</v>
      </c>
      <c r="FTC12" s="94" t="s">
        <v>142</v>
      </c>
      <c r="FTN12" s="93">
        <v>3.3</v>
      </c>
      <c r="FTO12" s="93">
        <v>3.9</v>
      </c>
      <c r="FUI12" s="94" t="s">
        <v>142</v>
      </c>
      <c r="FUT12" s="93">
        <v>3.3</v>
      </c>
      <c r="FUU12" s="93">
        <v>3.9</v>
      </c>
      <c r="FVO12" s="94" t="s">
        <v>142</v>
      </c>
      <c r="FVZ12" s="93">
        <v>3.3</v>
      </c>
      <c r="FWA12" s="93">
        <v>3.9</v>
      </c>
      <c r="FWU12" s="94" t="s">
        <v>142</v>
      </c>
      <c r="FXF12" s="93">
        <v>3.3</v>
      </c>
      <c r="FXG12" s="93">
        <v>3.9</v>
      </c>
      <c r="FYA12" s="94" t="s">
        <v>142</v>
      </c>
      <c r="FYL12" s="93">
        <v>3.3</v>
      </c>
      <c r="FYM12" s="93">
        <v>3.9</v>
      </c>
      <c r="FZG12" s="94" t="s">
        <v>142</v>
      </c>
      <c r="FZR12" s="93">
        <v>3.3</v>
      </c>
      <c r="FZS12" s="93">
        <v>3.9</v>
      </c>
      <c r="GAM12" s="94" t="s">
        <v>142</v>
      </c>
      <c r="GAX12" s="93">
        <v>3.3</v>
      </c>
      <c r="GAY12" s="93">
        <v>3.9</v>
      </c>
      <c r="GBS12" s="94" t="s">
        <v>142</v>
      </c>
      <c r="GCD12" s="93">
        <v>3.3</v>
      </c>
      <c r="GCE12" s="93">
        <v>3.9</v>
      </c>
      <c r="GCY12" s="94" t="s">
        <v>142</v>
      </c>
      <c r="GDJ12" s="93">
        <v>3.3</v>
      </c>
      <c r="GDK12" s="93">
        <v>3.9</v>
      </c>
      <c r="GEE12" s="94" t="s">
        <v>142</v>
      </c>
      <c r="GEP12" s="93">
        <v>3.3</v>
      </c>
      <c r="GEQ12" s="93">
        <v>3.9</v>
      </c>
      <c r="GFK12" s="94" t="s">
        <v>142</v>
      </c>
      <c r="GFV12" s="93">
        <v>3.3</v>
      </c>
      <c r="GFW12" s="93">
        <v>3.9</v>
      </c>
      <c r="GGQ12" s="94" t="s">
        <v>142</v>
      </c>
      <c r="GHB12" s="93">
        <v>3.3</v>
      </c>
      <c r="GHC12" s="93">
        <v>3.9</v>
      </c>
      <c r="GHW12" s="94" t="s">
        <v>142</v>
      </c>
      <c r="GIH12" s="93">
        <v>3.3</v>
      </c>
      <c r="GII12" s="93">
        <v>3.9</v>
      </c>
      <c r="GJC12" s="94" t="s">
        <v>142</v>
      </c>
      <c r="GJN12" s="93">
        <v>3.3</v>
      </c>
      <c r="GJO12" s="93">
        <v>3.9</v>
      </c>
      <c r="GKI12" s="94" t="s">
        <v>142</v>
      </c>
      <c r="GKT12" s="93">
        <v>3.3</v>
      </c>
      <c r="GKU12" s="93">
        <v>3.9</v>
      </c>
      <c r="GLO12" s="94" t="s">
        <v>142</v>
      </c>
      <c r="GLZ12" s="93">
        <v>3.3</v>
      </c>
      <c r="GMA12" s="93">
        <v>3.9</v>
      </c>
      <c r="GMU12" s="94" t="s">
        <v>142</v>
      </c>
      <c r="GNF12" s="93">
        <v>3.3</v>
      </c>
      <c r="GNG12" s="93">
        <v>3.9</v>
      </c>
      <c r="GOA12" s="94" t="s">
        <v>142</v>
      </c>
      <c r="GOL12" s="93">
        <v>3.3</v>
      </c>
      <c r="GOM12" s="93">
        <v>3.9</v>
      </c>
      <c r="GPG12" s="94" t="s">
        <v>142</v>
      </c>
      <c r="GPR12" s="93">
        <v>3.3</v>
      </c>
      <c r="GPS12" s="93">
        <v>3.9</v>
      </c>
      <c r="GQM12" s="94" t="s">
        <v>142</v>
      </c>
      <c r="GQX12" s="93">
        <v>3.3</v>
      </c>
      <c r="GQY12" s="93">
        <v>3.9</v>
      </c>
      <c r="GRS12" s="94" t="s">
        <v>142</v>
      </c>
      <c r="GSD12" s="93">
        <v>3.3</v>
      </c>
      <c r="GSE12" s="93">
        <v>3.9</v>
      </c>
      <c r="GSY12" s="94" t="s">
        <v>142</v>
      </c>
      <c r="GTJ12" s="93">
        <v>3.3</v>
      </c>
      <c r="GTK12" s="93">
        <v>3.9</v>
      </c>
      <c r="GUE12" s="94" t="s">
        <v>142</v>
      </c>
      <c r="GUP12" s="93">
        <v>3.3</v>
      </c>
      <c r="GUQ12" s="93">
        <v>3.9</v>
      </c>
      <c r="GVK12" s="94" t="s">
        <v>142</v>
      </c>
      <c r="GVV12" s="93">
        <v>3.3</v>
      </c>
      <c r="GVW12" s="93">
        <v>3.9</v>
      </c>
      <c r="GWQ12" s="94" t="s">
        <v>142</v>
      </c>
      <c r="GXB12" s="93">
        <v>3.3</v>
      </c>
      <c r="GXC12" s="93">
        <v>3.9</v>
      </c>
      <c r="GXW12" s="94" t="s">
        <v>142</v>
      </c>
      <c r="GYH12" s="93">
        <v>3.3</v>
      </c>
      <c r="GYI12" s="93">
        <v>3.9</v>
      </c>
      <c r="GZC12" s="94" t="s">
        <v>142</v>
      </c>
      <c r="GZN12" s="93">
        <v>3.3</v>
      </c>
      <c r="GZO12" s="93">
        <v>3.9</v>
      </c>
      <c r="HAI12" s="94" t="s">
        <v>142</v>
      </c>
      <c r="HAT12" s="93">
        <v>3.3</v>
      </c>
      <c r="HAU12" s="93">
        <v>3.9</v>
      </c>
      <c r="HBO12" s="94" t="s">
        <v>142</v>
      </c>
      <c r="HBZ12" s="93">
        <v>3.3</v>
      </c>
      <c r="HCA12" s="93">
        <v>3.9</v>
      </c>
      <c r="HCU12" s="94" t="s">
        <v>142</v>
      </c>
      <c r="HDF12" s="93">
        <v>3.3</v>
      </c>
      <c r="HDG12" s="93">
        <v>3.9</v>
      </c>
      <c r="HEA12" s="94" t="s">
        <v>142</v>
      </c>
      <c r="HEL12" s="93">
        <v>3.3</v>
      </c>
      <c r="HEM12" s="93">
        <v>3.9</v>
      </c>
      <c r="HFG12" s="94" t="s">
        <v>142</v>
      </c>
      <c r="HFR12" s="93">
        <v>3.3</v>
      </c>
      <c r="HFS12" s="93">
        <v>3.9</v>
      </c>
      <c r="HGM12" s="94" t="s">
        <v>142</v>
      </c>
      <c r="HGX12" s="93">
        <v>3.3</v>
      </c>
      <c r="HGY12" s="93">
        <v>3.9</v>
      </c>
      <c r="HHS12" s="94" t="s">
        <v>142</v>
      </c>
      <c r="HID12" s="93">
        <v>3.3</v>
      </c>
      <c r="HIE12" s="93">
        <v>3.9</v>
      </c>
      <c r="HIY12" s="94" t="s">
        <v>142</v>
      </c>
      <c r="HJJ12" s="93">
        <v>3.3</v>
      </c>
      <c r="HJK12" s="93">
        <v>3.9</v>
      </c>
      <c r="HKE12" s="94" t="s">
        <v>142</v>
      </c>
      <c r="HKP12" s="93">
        <v>3.3</v>
      </c>
      <c r="HKQ12" s="93">
        <v>3.9</v>
      </c>
      <c r="HLK12" s="94" t="s">
        <v>142</v>
      </c>
      <c r="HLV12" s="93">
        <v>3.3</v>
      </c>
      <c r="HLW12" s="93">
        <v>3.9</v>
      </c>
      <c r="HMQ12" s="94" t="s">
        <v>142</v>
      </c>
      <c r="HNB12" s="93">
        <v>3.3</v>
      </c>
      <c r="HNC12" s="93">
        <v>3.9</v>
      </c>
      <c r="HNW12" s="94" t="s">
        <v>142</v>
      </c>
      <c r="HOH12" s="93">
        <v>3.3</v>
      </c>
      <c r="HOI12" s="93">
        <v>3.9</v>
      </c>
      <c r="HPC12" s="94" t="s">
        <v>142</v>
      </c>
      <c r="HPN12" s="93">
        <v>3.3</v>
      </c>
      <c r="HPO12" s="93">
        <v>3.9</v>
      </c>
      <c r="HQI12" s="94" t="s">
        <v>142</v>
      </c>
      <c r="HQT12" s="93">
        <v>3.3</v>
      </c>
      <c r="HQU12" s="93">
        <v>3.9</v>
      </c>
      <c r="HRO12" s="94" t="s">
        <v>142</v>
      </c>
      <c r="HRZ12" s="93">
        <v>3.3</v>
      </c>
      <c r="HSA12" s="93">
        <v>3.9</v>
      </c>
      <c r="HSU12" s="94" t="s">
        <v>142</v>
      </c>
      <c r="HTF12" s="93">
        <v>3.3</v>
      </c>
      <c r="HTG12" s="93">
        <v>3.9</v>
      </c>
      <c r="HUA12" s="94" t="s">
        <v>142</v>
      </c>
      <c r="HUL12" s="93">
        <v>3.3</v>
      </c>
      <c r="HUM12" s="93">
        <v>3.9</v>
      </c>
      <c r="HVG12" s="94" t="s">
        <v>142</v>
      </c>
      <c r="HVR12" s="93">
        <v>3.3</v>
      </c>
      <c r="HVS12" s="93">
        <v>3.9</v>
      </c>
      <c r="HWM12" s="94" t="s">
        <v>142</v>
      </c>
      <c r="HWX12" s="93">
        <v>3.3</v>
      </c>
      <c r="HWY12" s="93">
        <v>3.9</v>
      </c>
      <c r="HXS12" s="94" t="s">
        <v>142</v>
      </c>
      <c r="HYD12" s="93">
        <v>3.3</v>
      </c>
      <c r="HYE12" s="93">
        <v>3.9</v>
      </c>
      <c r="HYY12" s="94" t="s">
        <v>142</v>
      </c>
      <c r="HZJ12" s="93">
        <v>3.3</v>
      </c>
      <c r="HZK12" s="93">
        <v>3.9</v>
      </c>
      <c r="IAE12" s="94" t="s">
        <v>142</v>
      </c>
      <c r="IAP12" s="93">
        <v>3.3</v>
      </c>
      <c r="IAQ12" s="93">
        <v>3.9</v>
      </c>
      <c r="IBK12" s="94" t="s">
        <v>142</v>
      </c>
      <c r="IBV12" s="93">
        <v>3.3</v>
      </c>
      <c r="IBW12" s="93">
        <v>3.9</v>
      </c>
      <c r="ICQ12" s="94" t="s">
        <v>142</v>
      </c>
      <c r="IDB12" s="93">
        <v>3.3</v>
      </c>
      <c r="IDC12" s="93">
        <v>3.9</v>
      </c>
      <c r="IDW12" s="94" t="s">
        <v>142</v>
      </c>
      <c r="IEH12" s="93">
        <v>3.3</v>
      </c>
      <c r="IEI12" s="93">
        <v>3.9</v>
      </c>
      <c r="IFC12" s="94" t="s">
        <v>142</v>
      </c>
      <c r="IFN12" s="93">
        <v>3.3</v>
      </c>
      <c r="IFO12" s="93">
        <v>3.9</v>
      </c>
      <c r="IGI12" s="94" t="s">
        <v>142</v>
      </c>
      <c r="IGT12" s="93">
        <v>3.3</v>
      </c>
      <c r="IGU12" s="93">
        <v>3.9</v>
      </c>
      <c r="IHO12" s="94" t="s">
        <v>142</v>
      </c>
      <c r="IHZ12" s="93">
        <v>3.3</v>
      </c>
      <c r="IIA12" s="93">
        <v>3.9</v>
      </c>
      <c r="IIU12" s="94" t="s">
        <v>142</v>
      </c>
      <c r="IJF12" s="93">
        <v>3.3</v>
      </c>
      <c r="IJG12" s="93">
        <v>3.9</v>
      </c>
      <c r="IKA12" s="94" t="s">
        <v>142</v>
      </c>
      <c r="IKL12" s="93">
        <v>3.3</v>
      </c>
      <c r="IKM12" s="93">
        <v>3.9</v>
      </c>
      <c r="ILG12" s="94" t="s">
        <v>142</v>
      </c>
      <c r="ILR12" s="93">
        <v>3.3</v>
      </c>
      <c r="ILS12" s="93">
        <v>3.9</v>
      </c>
      <c r="IMM12" s="94" t="s">
        <v>142</v>
      </c>
      <c r="IMX12" s="93">
        <v>3.3</v>
      </c>
      <c r="IMY12" s="93">
        <v>3.9</v>
      </c>
      <c r="INS12" s="94" t="s">
        <v>142</v>
      </c>
      <c r="IOD12" s="93">
        <v>3.3</v>
      </c>
      <c r="IOE12" s="93">
        <v>3.9</v>
      </c>
      <c r="IOY12" s="94" t="s">
        <v>142</v>
      </c>
      <c r="IPJ12" s="93">
        <v>3.3</v>
      </c>
      <c r="IPK12" s="93">
        <v>3.9</v>
      </c>
      <c r="IQE12" s="94" t="s">
        <v>142</v>
      </c>
      <c r="IQP12" s="93">
        <v>3.3</v>
      </c>
      <c r="IQQ12" s="93">
        <v>3.9</v>
      </c>
      <c r="IRK12" s="94" t="s">
        <v>142</v>
      </c>
      <c r="IRV12" s="93">
        <v>3.3</v>
      </c>
      <c r="IRW12" s="93">
        <v>3.9</v>
      </c>
      <c r="ISQ12" s="94" t="s">
        <v>142</v>
      </c>
      <c r="ITB12" s="93">
        <v>3.3</v>
      </c>
      <c r="ITC12" s="93">
        <v>3.9</v>
      </c>
      <c r="ITW12" s="94" t="s">
        <v>142</v>
      </c>
      <c r="IUH12" s="93">
        <v>3.3</v>
      </c>
      <c r="IUI12" s="93">
        <v>3.9</v>
      </c>
      <c r="IVC12" s="94" t="s">
        <v>142</v>
      </c>
      <c r="IVN12" s="93">
        <v>3.3</v>
      </c>
      <c r="IVO12" s="93">
        <v>3.9</v>
      </c>
      <c r="IWI12" s="94" t="s">
        <v>142</v>
      </c>
      <c r="IWT12" s="93">
        <v>3.3</v>
      </c>
      <c r="IWU12" s="93">
        <v>3.9</v>
      </c>
      <c r="IXO12" s="94" t="s">
        <v>142</v>
      </c>
      <c r="IXZ12" s="93">
        <v>3.3</v>
      </c>
      <c r="IYA12" s="93">
        <v>3.9</v>
      </c>
      <c r="IYU12" s="94" t="s">
        <v>142</v>
      </c>
      <c r="IZF12" s="93">
        <v>3.3</v>
      </c>
      <c r="IZG12" s="93">
        <v>3.9</v>
      </c>
      <c r="JAA12" s="94" t="s">
        <v>142</v>
      </c>
      <c r="JAL12" s="93">
        <v>3.3</v>
      </c>
      <c r="JAM12" s="93">
        <v>3.9</v>
      </c>
      <c r="JBG12" s="94" t="s">
        <v>142</v>
      </c>
      <c r="JBR12" s="93">
        <v>3.3</v>
      </c>
      <c r="JBS12" s="93">
        <v>3.9</v>
      </c>
      <c r="JCM12" s="94" t="s">
        <v>142</v>
      </c>
      <c r="JCX12" s="93">
        <v>3.3</v>
      </c>
      <c r="JCY12" s="93">
        <v>3.9</v>
      </c>
      <c r="JDS12" s="94" t="s">
        <v>142</v>
      </c>
      <c r="JED12" s="93">
        <v>3.3</v>
      </c>
      <c r="JEE12" s="93">
        <v>3.9</v>
      </c>
      <c r="JEY12" s="94" t="s">
        <v>142</v>
      </c>
      <c r="JFJ12" s="93">
        <v>3.3</v>
      </c>
      <c r="JFK12" s="93">
        <v>3.9</v>
      </c>
      <c r="JGE12" s="94" t="s">
        <v>142</v>
      </c>
      <c r="JGP12" s="93">
        <v>3.3</v>
      </c>
      <c r="JGQ12" s="93">
        <v>3.9</v>
      </c>
      <c r="JHK12" s="94" t="s">
        <v>142</v>
      </c>
      <c r="JHV12" s="93">
        <v>3.3</v>
      </c>
      <c r="JHW12" s="93">
        <v>3.9</v>
      </c>
      <c r="JIQ12" s="94" t="s">
        <v>142</v>
      </c>
      <c r="JJB12" s="93">
        <v>3.3</v>
      </c>
      <c r="JJC12" s="93">
        <v>3.9</v>
      </c>
      <c r="JJW12" s="94" t="s">
        <v>142</v>
      </c>
      <c r="JKH12" s="93">
        <v>3.3</v>
      </c>
      <c r="JKI12" s="93">
        <v>3.9</v>
      </c>
      <c r="JLC12" s="94" t="s">
        <v>142</v>
      </c>
      <c r="JLN12" s="93">
        <v>3.3</v>
      </c>
      <c r="JLO12" s="93">
        <v>3.9</v>
      </c>
      <c r="JMI12" s="94" t="s">
        <v>142</v>
      </c>
      <c r="JMT12" s="93">
        <v>3.3</v>
      </c>
      <c r="JMU12" s="93">
        <v>3.9</v>
      </c>
      <c r="JNO12" s="94" t="s">
        <v>142</v>
      </c>
      <c r="JNZ12" s="93">
        <v>3.3</v>
      </c>
      <c r="JOA12" s="93">
        <v>3.9</v>
      </c>
      <c r="JOU12" s="94" t="s">
        <v>142</v>
      </c>
      <c r="JPF12" s="93">
        <v>3.3</v>
      </c>
      <c r="JPG12" s="93">
        <v>3.9</v>
      </c>
      <c r="JQA12" s="94" t="s">
        <v>142</v>
      </c>
      <c r="JQL12" s="93">
        <v>3.3</v>
      </c>
      <c r="JQM12" s="93">
        <v>3.9</v>
      </c>
      <c r="JRG12" s="94" t="s">
        <v>142</v>
      </c>
      <c r="JRR12" s="93">
        <v>3.3</v>
      </c>
      <c r="JRS12" s="93">
        <v>3.9</v>
      </c>
      <c r="JSM12" s="94" t="s">
        <v>142</v>
      </c>
      <c r="JSX12" s="93">
        <v>3.3</v>
      </c>
      <c r="JSY12" s="93">
        <v>3.9</v>
      </c>
      <c r="JTS12" s="94" t="s">
        <v>142</v>
      </c>
      <c r="JUD12" s="93">
        <v>3.3</v>
      </c>
      <c r="JUE12" s="93">
        <v>3.9</v>
      </c>
      <c r="JUY12" s="94" t="s">
        <v>142</v>
      </c>
      <c r="JVJ12" s="93">
        <v>3.3</v>
      </c>
      <c r="JVK12" s="93">
        <v>3.9</v>
      </c>
      <c r="JWE12" s="94" t="s">
        <v>142</v>
      </c>
      <c r="JWP12" s="93">
        <v>3.3</v>
      </c>
      <c r="JWQ12" s="93">
        <v>3.9</v>
      </c>
      <c r="JXK12" s="94" t="s">
        <v>142</v>
      </c>
      <c r="JXV12" s="93">
        <v>3.3</v>
      </c>
      <c r="JXW12" s="93">
        <v>3.9</v>
      </c>
      <c r="JYQ12" s="94" t="s">
        <v>142</v>
      </c>
      <c r="JZB12" s="93">
        <v>3.3</v>
      </c>
      <c r="JZC12" s="93">
        <v>3.9</v>
      </c>
      <c r="JZW12" s="94" t="s">
        <v>142</v>
      </c>
      <c r="KAH12" s="93">
        <v>3.3</v>
      </c>
      <c r="KAI12" s="93">
        <v>3.9</v>
      </c>
      <c r="KBC12" s="94" t="s">
        <v>142</v>
      </c>
      <c r="KBN12" s="93">
        <v>3.3</v>
      </c>
      <c r="KBO12" s="93">
        <v>3.9</v>
      </c>
      <c r="KCI12" s="94" t="s">
        <v>142</v>
      </c>
      <c r="KCT12" s="93">
        <v>3.3</v>
      </c>
      <c r="KCU12" s="93">
        <v>3.9</v>
      </c>
      <c r="KDO12" s="94" t="s">
        <v>142</v>
      </c>
      <c r="KDZ12" s="93">
        <v>3.3</v>
      </c>
      <c r="KEA12" s="93">
        <v>3.9</v>
      </c>
      <c r="KEU12" s="94" t="s">
        <v>142</v>
      </c>
      <c r="KFF12" s="93">
        <v>3.3</v>
      </c>
      <c r="KFG12" s="93">
        <v>3.9</v>
      </c>
      <c r="KGA12" s="94" t="s">
        <v>142</v>
      </c>
      <c r="KGL12" s="93">
        <v>3.3</v>
      </c>
      <c r="KGM12" s="93">
        <v>3.9</v>
      </c>
      <c r="KHG12" s="94" t="s">
        <v>142</v>
      </c>
      <c r="KHR12" s="93">
        <v>3.3</v>
      </c>
      <c r="KHS12" s="93">
        <v>3.9</v>
      </c>
      <c r="KIM12" s="94" t="s">
        <v>142</v>
      </c>
      <c r="KIX12" s="93">
        <v>3.3</v>
      </c>
      <c r="KIY12" s="93">
        <v>3.9</v>
      </c>
      <c r="KJS12" s="94" t="s">
        <v>142</v>
      </c>
      <c r="KKD12" s="93">
        <v>3.3</v>
      </c>
      <c r="KKE12" s="93">
        <v>3.9</v>
      </c>
      <c r="KKY12" s="94" t="s">
        <v>142</v>
      </c>
      <c r="KLJ12" s="93">
        <v>3.3</v>
      </c>
      <c r="KLK12" s="93">
        <v>3.9</v>
      </c>
      <c r="KME12" s="94" t="s">
        <v>142</v>
      </c>
      <c r="KMP12" s="93">
        <v>3.3</v>
      </c>
      <c r="KMQ12" s="93">
        <v>3.9</v>
      </c>
      <c r="KNK12" s="94" t="s">
        <v>142</v>
      </c>
      <c r="KNV12" s="93">
        <v>3.3</v>
      </c>
      <c r="KNW12" s="93">
        <v>3.9</v>
      </c>
      <c r="KOQ12" s="94" t="s">
        <v>142</v>
      </c>
      <c r="KPB12" s="93">
        <v>3.3</v>
      </c>
      <c r="KPC12" s="93">
        <v>3.9</v>
      </c>
      <c r="KPW12" s="94" t="s">
        <v>142</v>
      </c>
      <c r="KQH12" s="93">
        <v>3.3</v>
      </c>
      <c r="KQI12" s="93">
        <v>3.9</v>
      </c>
      <c r="KRC12" s="94" t="s">
        <v>142</v>
      </c>
      <c r="KRN12" s="93">
        <v>3.3</v>
      </c>
      <c r="KRO12" s="93">
        <v>3.9</v>
      </c>
      <c r="KSI12" s="94" t="s">
        <v>142</v>
      </c>
      <c r="KST12" s="93">
        <v>3.3</v>
      </c>
      <c r="KSU12" s="93">
        <v>3.9</v>
      </c>
      <c r="KTO12" s="94" t="s">
        <v>142</v>
      </c>
      <c r="KTZ12" s="93">
        <v>3.3</v>
      </c>
      <c r="KUA12" s="93">
        <v>3.9</v>
      </c>
      <c r="KUU12" s="94" t="s">
        <v>142</v>
      </c>
      <c r="KVF12" s="93">
        <v>3.3</v>
      </c>
      <c r="KVG12" s="93">
        <v>3.9</v>
      </c>
      <c r="KWA12" s="94" t="s">
        <v>142</v>
      </c>
      <c r="KWL12" s="93">
        <v>3.3</v>
      </c>
      <c r="KWM12" s="93">
        <v>3.9</v>
      </c>
      <c r="KXG12" s="94" t="s">
        <v>142</v>
      </c>
      <c r="KXR12" s="93">
        <v>3.3</v>
      </c>
      <c r="KXS12" s="93">
        <v>3.9</v>
      </c>
      <c r="KYM12" s="94" t="s">
        <v>142</v>
      </c>
      <c r="KYX12" s="93">
        <v>3.3</v>
      </c>
      <c r="KYY12" s="93">
        <v>3.9</v>
      </c>
      <c r="KZS12" s="94" t="s">
        <v>142</v>
      </c>
      <c r="LAD12" s="93">
        <v>3.3</v>
      </c>
      <c r="LAE12" s="93">
        <v>3.9</v>
      </c>
      <c r="LAY12" s="94" t="s">
        <v>142</v>
      </c>
      <c r="LBJ12" s="93">
        <v>3.3</v>
      </c>
      <c r="LBK12" s="93">
        <v>3.9</v>
      </c>
      <c r="LCE12" s="94" t="s">
        <v>142</v>
      </c>
      <c r="LCP12" s="93">
        <v>3.3</v>
      </c>
      <c r="LCQ12" s="93">
        <v>3.9</v>
      </c>
      <c r="LDK12" s="94" t="s">
        <v>142</v>
      </c>
      <c r="LDV12" s="93">
        <v>3.3</v>
      </c>
      <c r="LDW12" s="93">
        <v>3.9</v>
      </c>
      <c r="LEQ12" s="94" t="s">
        <v>142</v>
      </c>
      <c r="LFB12" s="93">
        <v>3.3</v>
      </c>
      <c r="LFC12" s="93">
        <v>3.9</v>
      </c>
      <c r="LFW12" s="94" t="s">
        <v>142</v>
      </c>
      <c r="LGH12" s="93">
        <v>3.3</v>
      </c>
      <c r="LGI12" s="93">
        <v>3.9</v>
      </c>
      <c r="LHC12" s="94" t="s">
        <v>142</v>
      </c>
      <c r="LHN12" s="93">
        <v>3.3</v>
      </c>
      <c r="LHO12" s="93">
        <v>3.9</v>
      </c>
      <c r="LII12" s="94" t="s">
        <v>142</v>
      </c>
      <c r="LIT12" s="93">
        <v>3.3</v>
      </c>
      <c r="LIU12" s="93">
        <v>3.9</v>
      </c>
      <c r="LJO12" s="94" t="s">
        <v>142</v>
      </c>
      <c r="LJZ12" s="93">
        <v>3.3</v>
      </c>
      <c r="LKA12" s="93">
        <v>3.9</v>
      </c>
      <c r="LKU12" s="94" t="s">
        <v>142</v>
      </c>
      <c r="LLF12" s="93">
        <v>3.3</v>
      </c>
      <c r="LLG12" s="93">
        <v>3.9</v>
      </c>
      <c r="LMA12" s="94" t="s">
        <v>142</v>
      </c>
      <c r="LML12" s="93">
        <v>3.3</v>
      </c>
      <c r="LMM12" s="93">
        <v>3.9</v>
      </c>
      <c r="LNG12" s="94" t="s">
        <v>142</v>
      </c>
      <c r="LNR12" s="93">
        <v>3.3</v>
      </c>
      <c r="LNS12" s="93">
        <v>3.9</v>
      </c>
      <c r="LOM12" s="94" t="s">
        <v>142</v>
      </c>
      <c r="LOX12" s="93">
        <v>3.3</v>
      </c>
      <c r="LOY12" s="93">
        <v>3.9</v>
      </c>
      <c r="LPS12" s="94" t="s">
        <v>142</v>
      </c>
      <c r="LQD12" s="93">
        <v>3.3</v>
      </c>
      <c r="LQE12" s="93">
        <v>3.9</v>
      </c>
      <c r="LQY12" s="94" t="s">
        <v>142</v>
      </c>
      <c r="LRJ12" s="93">
        <v>3.3</v>
      </c>
      <c r="LRK12" s="93">
        <v>3.9</v>
      </c>
      <c r="LSE12" s="94" t="s">
        <v>142</v>
      </c>
      <c r="LSP12" s="93">
        <v>3.3</v>
      </c>
      <c r="LSQ12" s="93">
        <v>3.9</v>
      </c>
      <c r="LTK12" s="94" t="s">
        <v>142</v>
      </c>
      <c r="LTV12" s="93">
        <v>3.3</v>
      </c>
      <c r="LTW12" s="93">
        <v>3.9</v>
      </c>
      <c r="LUQ12" s="94" t="s">
        <v>142</v>
      </c>
      <c r="LVB12" s="93">
        <v>3.3</v>
      </c>
      <c r="LVC12" s="93">
        <v>3.9</v>
      </c>
      <c r="LVW12" s="94" t="s">
        <v>142</v>
      </c>
      <c r="LWH12" s="93">
        <v>3.3</v>
      </c>
      <c r="LWI12" s="93">
        <v>3.9</v>
      </c>
      <c r="LXC12" s="94" t="s">
        <v>142</v>
      </c>
      <c r="LXN12" s="93">
        <v>3.3</v>
      </c>
      <c r="LXO12" s="93">
        <v>3.9</v>
      </c>
      <c r="LYI12" s="94" t="s">
        <v>142</v>
      </c>
      <c r="LYT12" s="93">
        <v>3.3</v>
      </c>
      <c r="LYU12" s="93">
        <v>3.9</v>
      </c>
      <c r="LZO12" s="94" t="s">
        <v>142</v>
      </c>
      <c r="LZZ12" s="93">
        <v>3.3</v>
      </c>
      <c r="MAA12" s="93">
        <v>3.9</v>
      </c>
      <c r="MAU12" s="94" t="s">
        <v>142</v>
      </c>
      <c r="MBF12" s="93">
        <v>3.3</v>
      </c>
      <c r="MBG12" s="93">
        <v>3.9</v>
      </c>
      <c r="MCA12" s="94" t="s">
        <v>142</v>
      </c>
      <c r="MCL12" s="93">
        <v>3.3</v>
      </c>
      <c r="MCM12" s="93">
        <v>3.9</v>
      </c>
      <c r="MDG12" s="94" t="s">
        <v>142</v>
      </c>
      <c r="MDR12" s="93">
        <v>3.3</v>
      </c>
      <c r="MDS12" s="93">
        <v>3.9</v>
      </c>
      <c r="MEM12" s="94" t="s">
        <v>142</v>
      </c>
      <c r="MEX12" s="93">
        <v>3.3</v>
      </c>
      <c r="MEY12" s="93">
        <v>3.9</v>
      </c>
      <c r="MFS12" s="94" t="s">
        <v>142</v>
      </c>
      <c r="MGD12" s="93">
        <v>3.3</v>
      </c>
      <c r="MGE12" s="93">
        <v>3.9</v>
      </c>
      <c r="MGY12" s="94" t="s">
        <v>142</v>
      </c>
      <c r="MHJ12" s="93">
        <v>3.3</v>
      </c>
      <c r="MHK12" s="93">
        <v>3.9</v>
      </c>
      <c r="MIE12" s="94" t="s">
        <v>142</v>
      </c>
      <c r="MIP12" s="93">
        <v>3.3</v>
      </c>
      <c r="MIQ12" s="93">
        <v>3.9</v>
      </c>
      <c r="MJK12" s="94" t="s">
        <v>142</v>
      </c>
      <c r="MJV12" s="93">
        <v>3.3</v>
      </c>
      <c r="MJW12" s="93">
        <v>3.9</v>
      </c>
      <c r="MKQ12" s="94" t="s">
        <v>142</v>
      </c>
      <c r="MLB12" s="93">
        <v>3.3</v>
      </c>
      <c r="MLC12" s="93">
        <v>3.9</v>
      </c>
      <c r="MLW12" s="94" t="s">
        <v>142</v>
      </c>
      <c r="MMH12" s="93">
        <v>3.3</v>
      </c>
      <c r="MMI12" s="93">
        <v>3.9</v>
      </c>
      <c r="MNC12" s="94" t="s">
        <v>142</v>
      </c>
      <c r="MNN12" s="93">
        <v>3.3</v>
      </c>
      <c r="MNO12" s="93">
        <v>3.9</v>
      </c>
      <c r="MOI12" s="94" t="s">
        <v>142</v>
      </c>
      <c r="MOT12" s="93">
        <v>3.3</v>
      </c>
      <c r="MOU12" s="93">
        <v>3.9</v>
      </c>
      <c r="MPO12" s="94" t="s">
        <v>142</v>
      </c>
      <c r="MPZ12" s="93">
        <v>3.3</v>
      </c>
      <c r="MQA12" s="93">
        <v>3.9</v>
      </c>
      <c r="MQU12" s="94" t="s">
        <v>142</v>
      </c>
      <c r="MRF12" s="93">
        <v>3.3</v>
      </c>
      <c r="MRG12" s="93">
        <v>3.9</v>
      </c>
      <c r="MSA12" s="94" t="s">
        <v>142</v>
      </c>
      <c r="MSL12" s="93">
        <v>3.3</v>
      </c>
      <c r="MSM12" s="93">
        <v>3.9</v>
      </c>
      <c r="MTG12" s="94" t="s">
        <v>142</v>
      </c>
      <c r="MTR12" s="93">
        <v>3.3</v>
      </c>
      <c r="MTS12" s="93">
        <v>3.9</v>
      </c>
      <c r="MUM12" s="94" t="s">
        <v>142</v>
      </c>
      <c r="MUX12" s="93">
        <v>3.3</v>
      </c>
      <c r="MUY12" s="93">
        <v>3.9</v>
      </c>
      <c r="MVS12" s="94" t="s">
        <v>142</v>
      </c>
      <c r="MWD12" s="93">
        <v>3.3</v>
      </c>
      <c r="MWE12" s="93">
        <v>3.9</v>
      </c>
      <c r="MWY12" s="94" t="s">
        <v>142</v>
      </c>
      <c r="MXJ12" s="93">
        <v>3.3</v>
      </c>
      <c r="MXK12" s="93">
        <v>3.9</v>
      </c>
      <c r="MYE12" s="94" t="s">
        <v>142</v>
      </c>
      <c r="MYP12" s="93">
        <v>3.3</v>
      </c>
      <c r="MYQ12" s="93">
        <v>3.9</v>
      </c>
      <c r="MZK12" s="94" t="s">
        <v>142</v>
      </c>
      <c r="MZV12" s="93">
        <v>3.3</v>
      </c>
      <c r="MZW12" s="93">
        <v>3.9</v>
      </c>
      <c r="NAQ12" s="94" t="s">
        <v>142</v>
      </c>
      <c r="NBB12" s="93">
        <v>3.3</v>
      </c>
      <c r="NBC12" s="93">
        <v>3.9</v>
      </c>
      <c r="NBW12" s="94" t="s">
        <v>142</v>
      </c>
      <c r="NCH12" s="93">
        <v>3.3</v>
      </c>
      <c r="NCI12" s="93">
        <v>3.9</v>
      </c>
      <c r="NDC12" s="94" t="s">
        <v>142</v>
      </c>
      <c r="NDN12" s="93">
        <v>3.3</v>
      </c>
      <c r="NDO12" s="93">
        <v>3.9</v>
      </c>
      <c r="NEI12" s="94" t="s">
        <v>142</v>
      </c>
      <c r="NET12" s="93">
        <v>3.3</v>
      </c>
      <c r="NEU12" s="93">
        <v>3.9</v>
      </c>
      <c r="NFO12" s="94" t="s">
        <v>142</v>
      </c>
      <c r="NFZ12" s="93">
        <v>3.3</v>
      </c>
      <c r="NGA12" s="93">
        <v>3.9</v>
      </c>
      <c r="NGU12" s="94" t="s">
        <v>142</v>
      </c>
      <c r="NHF12" s="93">
        <v>3.3</v>
      </c>
      <c r="NHG12" s="93">
        <v>3.9</v>
      </c>
      <c r="NIA12" s="94" t="s">
        <v>142</v>
      </c>
      <c r="NIL12" s="93">
        <v>3.3</v>
      </c>
      <c r="NIM12" s="93">
        <v>3.9</v>
      </c>
      <c r="NJG12" s="94" t="s">
        <v>142</v>
      </c>
      <c r="NJR12" s="93">
        <v>3.3</v>
      </c>
      <c r="NJS12" s="93">
        <v>3.9</v>
      </c>
      <c r="NKM12" s="94" t="s">
        <v>142</v>
      </c>
      <c r="NKX12" s="93">
        <v>3.3</v>
      </c>
      <c r="NKY12" s="93">
        <v>3.9</v>
      </c>
      <c r="NLS12" s="94" t="s">
        <v>142</v>
      </c>
      <c r="NMD12" s="93">
        <v>3.3</v>
      </c>
      <c r="NME12" s="93">
        <v>3.9</v>
      </c>
      <c r="NMY12" s="94" t="s">
        <v>142</v>
      </c>
      <c r="NNJ12" s="93">
        <v>3.3</v>
      </c>
      <c r="NNK12" s="93">
        <v>3.9</v>
      </c>
      <c r="NOE12" s="94" t="s">
        <v>142</v>
      </c>
      <c r="NOP12" s="93">
        <v>3.3</v>
      </c>
      <c r="NOQ12" s="93">
        <v>3.9</v>
      </c>
      <c r="NPK12" s="94" t="s">
        <v>142</v>
      </c>
      <c r="NPV12" s="93">
        <v>3.3</v>
      </c>
      <c r="NPW12" s="93">
        <v>3.9</v>
      </c>
      <c r="NQQ12" s="94" t="s">
        <v>142</v>
      </c>
      <c r="NRB12" s="93">
        <v>3.3</v>
      </c>
      <c r="NRC12" s="93">
        <v>3.9</v>
      </c>
      <c r="NRW12" s="94" t="s">
        <v>142</v>
      </c>
      <c r="NSH12" s="93">
        <v>3.3</v>
      </c>
      <c r="NSI12" s="93">
        <v>3.9</v>
      </c>
      <c r="NTC12" s="94" t="s">
        <v>142</v>
      </c>
      <c r="NTN12" s="93">
        <v>3.3</v>
      </c>
      <c r="NTO12" s="93">
        <v>3.9</v>
      </c>
      <c r="NUI12" s="94" t="s">
        <v>142</v>
      </c>
      <c r="NUT12" s="93">
        <v>3.3</v>
      </c>
      <c r="NUU12" s="93">
        <v>3.9</v>
      </c>
      <c r="NVO12" s="94" t="s">
        <v>142</v>
      </c>
      <c r="NVZ12" s="93">
        <v>3.3</v>
      </c>
      <c r="NWA12" s="93">
        <v>3.9</v>
      </c>
      <c r="NWU12" s="94" t="s">
        <v>142</v>
      </c>
      <c r="NXF12" s="93">
        <v>3.3</v>
      </c>
      <c r="NXG12" s="93">
        <v>3.9</v>
      </c>
      <c r="NYA12" s="94" t="s">
        <v>142</v>
      </c>
      <c r="NYL12" s="93">
        <v>3.3</v>
      </c>
      <c r="NYM12" s="93">
        <v>3.9</v>
      </c>
      <c r="NZG12" s="94" t="s">
        <v>142</v>
      </c>
      <c r="NZR12" s="93">
        <v>3.3</v>
      </c>
      <c r="NZS12" s="93">
        <v>3.9</v>
      </c>
      <c r="OAM12" s="94" t="s">
        <v>142</v>
      </c>
      <c r="OAX12" s="93">
        <v>3.3</v>
      </c>
      <c r="OAY12" s="93">
        <v>3.9</v>
      </c>
      <c r="OBS12" s="94" t="s">
        <v>142</v>
      </c>
      <c r="OCD12" s="93">
        <v>3.3</v>
      </c>
      <c r="OCE12" s="93">
        <v>3.9</v>
      </c>
      <c r="OCY12" s="94" t="s">
        <v>142</v>
      </c>
      <c r="ODJ12" s="93">
        <v>3.3</v>
      </c>
      <c r="ODK12" s="93">
        <v>3.9</v>
      </c>
      <c r="OEE12" s="94" t="s">
        <v>142</v>
      </c>
      <c r="OEP12" s="93">
        <v>3.3</v>
      </c>
      <c r="OEQ12" s="93">
        <v>3.9</v>
      </c>
      <c r="OFK12" s="94" t="s">
        <v>142</v>
      </c>
      <c r="OFV12" s="93">
        <v>3.3</v>
      </c>
      <c r="OFW12" s="93">
        <v>3.9</v>
      </c>
      <c r="OGQ12" s="94" t="s">
        <v>142</v>
      </c>
      <c r="OHB12" s="93">
        <v>3.3</v>
      </c>
      <c r="OHC12" s="93">
        <v>3.9</v>
      </c>
      <c r="OHW12" s="94" t="s">
        <v>142</v>
      </c>
      <c r="OIH12" s="93">
        <v>3.3</v>
      </c>
      <c r="OII12" s="93">
        <v>3.9</v>
      </c>
      <c r="OJC12" s="94" t="s">
        <v>142</v>
      </c>
      <c r="OJN12" s="93">
        <v>3.3</v>
      </c>
      <c r="OJO12" s="93">
        <v>3.9</v>
      </c>
      <c r="OKI12" s="94" t="s">
        <v>142</v>
      </c>
      <c r="OKT12" s="93">
        <v>3.3</v>
      </c>
      <c r="OKU12" s="93">
        <v>3.9</v>
      </c>
      <c r="OLO12" s="94" t="s">
        <v>142</v>
      </c>
      <c r="OLZ12" s="93">
        <v>3.3</v>
      </c>
      <c r="OMA12" s="93">
        <v>3.9</v>
      </c>
      <c r="OMU12" s="94" t="s">
        <v>142</v>
      </c>
      <c r="ONF12" s="93">
        <v>3.3</v>
      </c>
      <c r="ONG12" s="93">
        <v>3.9</v>
      </c>
      <c r="OOA12" s="94" t="s">
        <v>142</v>
      </c>
      <c r="OOL12" s="93">
        <v>3.3</v>
      </c>
      <c r="OOM12" s="93">
        <v>3.9</v>
      </c>
      <c r="OPG12" s="94" t="s">
        <v>142</v>
      </c>
      <c r="OPR12" s="93">
        <v>3.3</v>
      </c>
      <c r="OPS12" s="93">
        <v>3.9</v>
      </c>
      <c r="OQM12" s="94" t="s">
        <v>142</v>
      </c>
      <c r="OQX12" s="93">
        <v>3.3</v>
      </c>
      <c r="OQY12" s="93">
        <v>3.9</v>
      </c>
      <c r="ORS12" s="94" t="s">
        <v>142</v>
      </c>
      <c r="OSD12" s="93">
        <v>3.3</v>
      </c>
      <c r="OSE12" s="93">
        <v>3.9</v>
      </c>
      <c r="OSY12" s="94" t="s">
        <v>142</v>
      </c>
      <c r="OTJ12" s="93">
        <v>3.3</v>
      </c>
      <c r="OTK12" s="93">
        <v>3.9</v>
      </c>
      <c r="OUE12" s="94" t="s">
        <v>142</v>
      </c>
      <c r="OUP12" s="93">
        <v>3.3</v>
      </c>
      <c r="OUQ12" s="93">
        <v>3.9</v>
      </c>
      <c r="OVK12" s="94" t="s">
        <v>142</v>
      </c>
      <c r="OVV12" s="93">
        <v>3.3</v>
      </c>
      <c r="OVW12" s="93">
        <v>3.9</v>
      </c>
      <c r="OWQ12" s="94" t="s">
        <v>142</v>
      </c>
      <c r="OXB12" s="93">
        <v>3.3</v>
      </c>
      <c r="OXC12" s="93">
        <v>3.9</v>
      </c>
      <c r="OXW12" s="94" t="s">
        <v>142</v>
      </c>
      <c r="OYH12" s="93">
        <v>3.3</v>
      </c>
      <c r="OYI12" s="93">
        <v>3.9</v>
      </c>
      <c r="OZC12" s="94" t="s">
        <v>142</v>
      </c>
      <c r="OZN12" s="93">
        <v>3.3</v>
      </c>
      <c r="OZO12" s="93">
        <v>3.9</v>
      </c>
      <c r="PAI12" s="94" t="s">
        <v>142</v>
      </c>
      <c r="PAT12" s="93">
        <v>3.3</v>
      </c>
      <c r="PAU12" s="93">
        <v>3.9</v>
      </c>
      <c r="PBO12" s="94" t="s">
        <v>142</v>
      </c>
      <c r="PBZ12" s="93">
        <v>3.3</v>
      </c>
      <c r="PCA12" s="93">
        <v>3.9</v>
      </c>
      <c r="PCU12" s="94" t="s">
        <v>142</v>
      </c>
      <c r="PDF12" s="93">
        <v>3.3</v>
      </c>
      <c r="PDG12" s="93">
        <v>3.9</v>
      </c>
      <c r="PEA12" s="94" t="s">
        <v>142</v>
      </c>
      <c r="PEL12" s="93">
        <v>3.3</v>
      </c>
      <c r="PEM12" s="93">
        <v>3.9</v>
      </c>
      <c r="PFG12" s="94" t="s">
        <v>142</v>
      </c>
      <c r="PFR12" s="93">
        <v>3.3</v>
      </c>
      <c r="PFS12" s="93">
        <v>3.9</v>
      </c>
      <c r="PGM12" s="94" t="s">
        <v>142</v>
      </c>
      <c r="PGX12" s="93">
        <v>3.3</v>
      </c>
      <c r="PGY12" s="93">
        <v>3.9</v>
      </c>
      <c r="PHS12" s="94" t="s">
        <v>142</v>
      </c>
      <c r="PID12" s="93">
        <v>3.3</v>
      </c>
      <c r="PIE12" s="93">
        <v>3.9</v>
      </c>
      <c r="PIY12" s="94" t="s">
        <v>142</v>
      </c>
      <c r="PJJ12" s="93">
        <v>3.3</v>
      </c>
      <c r="PJK12" s="93">
        <v>3.9</v>
      </c>
      <c r="PKE12" s="94" t="s">
        <v>142</v>
      </c>
      <c r="PKP12" s="93">
        <v>3.3</v>
      </c>
      <c r="PKQ12" s="93">
        <v>3.9</v>
      </c>
      <c r="PLK12" s="94" t="s">
        <v>142</v>
      </c>
      <c r="PLV12" s="93">
        <v>3.3</v>
      </c>
      <c r="PLW12" s="93">
        <v>3.9</v>
      </c>
      <c r="PMQ12" s="94" t="s">
        <v>142</v>
      </c>
      <c r="PNB12" s="93">
        <v>3.3</v>
      </c>
      <c r="PNC12" s="93">
        <v>3.9</v>
      </c>
      <c r="PNW12" s="94" t="s">
        <v>142</v>
      </c>
      <c r="POH12" s="93">
        <v>3.3</v>
      </c>
      <c r="POI12" s="93">
        <v>3.9</v>
      </c>
      <c r="PPC12" s="94" t="s">
        <v>142</v>
      </c>
      <c r="PPN12" s="93">
        <v>3.3</v>
      </c>
      <c r="PPO12" s="93">
        <v>3.9</v>
      </c>
      <c r="PQI12" s="94" t="s">
        <v>142</v>
      </c>
      <c r="PQT12" s="93">
        <v>3.3</v>
      </c>
      <c r="PQU12" s="93">
        <v>3.9</v>
      </c>
      <c r="PRO12" s="94" t="s">
        <v>142</v>
      </c>
      <c r="PRZ12" s="93">
        <v>3.3</v>
      </c>
      <c r="PSA12" s="93">
        <v>3.9</v>
      </c>
      <c r="PSU12" s="94" t="s">
        <v>142</v>
      </c>
      <c r="PTF12" s="93">
        <v>3.3</v>
      </c>
      <c r="PTG12" s="93">
        <v>3.9</v>
      </c>
      <c r="PUA12" s="94" t="s">
        <v>142</v>
      </c>
      <c r="PUL12" s="93">
        <v>3.3</v>
      </c>
      <c r="PUM12" s="93">
        <v>3.9</v>
      </c>
      <c r="PVG12" s="94" t="s">
        <v>142</v>
      </c>
      <c r="PVR12" s="93">
        <v>3.3</v>
      </c>
      <c r="PVS12" s="93">
        <v>3.9</v>
      </c>
      <c r="PWM12" s="94" t="s">
        <v>142</v>
      </c>
      <c r="PWX12" s="93">
        <v>3.3</v>
      </c>
      <c r="PWY12" s="93">
        <v>3.9</v>
      </c>
      <c r="PXS12" s="94" t="s">
        <v>142</v>
      </c>
      <c r="PYD12" s="93">
        <v>3.3</v>
      </c>
      <c r="PYE12" s="93">
        <v>3.9</v>
      </c>
      <c r="PYY12" s="94" t="s">
        <v>142</v>
      </c>
      <c r="PZJ12" s="93">
        <v>3.3</v>
      </c>
      <c r="PZK12" s="93">
        <v>3.9</v>
      </c>
      <c r="QAE12" s="94" t="s">
        <v>142</v>
      </c>
      <c r="QAP12" s="93">
        <v>3.3</v>
      </c>
      <c r="QAQ12" s="93">
        <v>3.9</v>
      </c>
      <c r="QBK12" s="94" t="s">
        <v>142</v>
      </c>
      <c r="QBV12" s="93">
        <v>3.3</v>
      </c>
      <c r="QBW12" s="93">
        <v>3.9</v>
      </c>
      <c r="QCQ12" s="94" t="s">
        <v>142</v>
      </c>
      <c r="QDB12" s="93">
        <v>3.3</v>
      </c>
      <c r="QDC12" s="93">
        <v>3.9</v>
      </c>
      <c r="QDW12" s="94" t="s">
        <v>142</v>
      </c>
      <c r="QEH12" s="93">
        <v>3.3</v>
      </c>
      <c r="QEI12" s="93">
        <v>3.9</v>
      </c>
      <c r="QFC12" s="94" t="s">
        <v>142</v>
      </c>
      <c r="QFN12" s="93">
        <v>3.3</v>
      </c>
      <c r="QFO12" s="93">
        <v>3.9</v>
      </c>
      <c r="QGI12" s="94" t="s">
        <v>142</v>
      </c>
      <c r="QGT12" s="93">
        <v>3.3</v>
      </c>
      <c r="QGU12" s="93">
        <v>3.9</v>
      </c>
      <c r="QHO12" s="94" t="s">
        <v>142</v>
      </c>
      <c r="QHZ12" s="93">
        <v>3.3</v>
      </c>
      <c r="QIA12" s="93">
        <v>3.9</v>
      </c>
      <c r="QIU12" s="94" t="s">
        <v>142</v>
      </c>
      <c r="QJF12" s="93">
        <v>3.3</v>
      </c>
      <c r="QJG12" s="93">
        <v>3.9</v>
      </c>
      <c r="QKA12" s="94" t="s">
        <v>142</v>
      </c>
      <c r="QKL12" s="93">
        <v>3.3</v>
      </c>
      <c r="QKM12" s="93">
        <v>3.9</v>
      </c>
      <c r="QLG12" s="94" t="s">
        <v>142</v>
      </c>
      <c r="QLR12" s="93">
        <v>3.3</v>
      </c>
      <c r="QLS12" s="93">
        <v>3.9</v>
      </c>
      <c r="QMM12" s="94" t="s">
        <v>142</v>
      </c>
      <c r="QMX12" s="93">
        <v>3.3</v>
      </c>
      <c r="QMY12" s="93">
        <v>3.9</v>
      </c>
      <c r="QNS12" s="94" t="s">
        <v>142</v>
      </c>
      <c r="QOD12" s="93">
        <v>3.3</v>
      </c>
      <c r="QOE12" s="93">
        <v>3.9</v>
      </c>
      <c r="QOY12" s="94" t="s">
        <v>142</v>
      </c>
      <c r="QPJ12" s="93">
        <v>3.3</v>
      </c>
      <c r="QPK12" s="93">
        <v>3.9</v>
      </c>
      <c r="QQE12" s="94" t="s">
        <v>142</v>
      </c>
      <c r="QQP12" s="93">
        <v>3.3</v>
      </c>
      <c r="QQQ12" s="93">
        <v>3.9</v>
      </c>
      <c r="QRK12" s="94" t="s">
        <v>142</v>
      </c>
      <c r="QRV12" s="93">
        <v>3.3</v>
      </c>
      <c r="QRW12" s="93">
        <v>3.9</v>
      </c>
      <c r="QSQ12" s="94" t="s">
        <v>142</v>
      </c>
      <c r="QTB12" s="93">
        <v>3.3</v>
      </c>
      <c r="QTC12" s="93">
        <v>3.9</v>
      </c>
      <c r="QTW12" s="94" t="s">
        <v>142</v>
      </c>
      <c r="QUH12" s="93">
        <v>3.3</v>
      </c>
      <c r="QUI12" s="93">
        <v>3.9</v>
      </c>
      <c r="QVC12" s="94" t="s">
        <v>142</v>
      </c>
      <c r="QVN12" s="93">
        <v>3.3</v>
      </c>
      <c r="QVO12" s="93">
        <v>3.9</v>
      </c>
      <c r="QWI12" s="94" t="s">
        <v>142</v>
      </c>
      <c r="QWT12" s="93">
        <v>3.3</v>
      </c>
      <c r="QWU12" s="93">
        <v>3.9</v>
      </c>
      <c r="QXO12" s="94" t="s">
        <v>142</v>
      </c>
      <c r="QXZ12" s="93">
        <v>3.3</v>
      </c>
      <c r="QYA12" s="93">
        <v>3.9</v>
      </c>
      <c r="QYU12" s="94" t="s">
        <v>142</v>
      </c>
      <c r="QZF12" s="93">
        <v>3.3</v>
      </c>
      <c r="QZG12" s="93">
        <v>3.9</v>
      </c>
      <c r="RAA12" s="94" t="s">
        <v>142</v>
      </c>
      <c r="RAL12" s="93">
        <v>3.3</v>
      </c>
      <c r="RAM12" s="93">
        <v>3.9</v>
      </c>
      <c r="RBG12" s="94" t="s">
        <v>142</v>
      </c>
      <c r="RBR12" s="93">
        <v>3.3</v>
      </c>
      <c r="RBS12" s="93">
        <v>3.9</v>
      </c>
      <c r="RCM12" s="94" t="s">
        <v>142</v>
      </c>
      <c r="RCX12" s="93">
        <v>3.3</v>
      </c>
      <c r="RCY12" s="93">
        <v>3.9</v>
      </c>
      <c r="RDS12" s="94" t="s">
        <v>142</v>
      </c>
      <c r="RED12" s="93">
        <v>3.3</v>
      </c>
      <c r="REE12" s="93">
        <v>3.9</v>
      </c>
      <c r="REY12" s="94" t="s">
        <v>142</v>
      </c>
      <c r="RFJ12" s="93">
        <v>3.3</v>
      </c>
      <c r="RFK12" s="93">
        <v>3.9</v>
      </c>
      <c r="RGE12" s="94" t="s">
        <v>142</v>
      </c>
      <c r="RGP12" s="93">
        <v>3.3</v>
      </c>
      <c r="RGQ12" s="93">
        <v>3.9</v>
      </c>
      <c r="RHK12" s="94" t="s">
        <v>142</v>
      </c>
      <c r="RHV12" s="93">
        <v>3.3</v>
      </c>
      <c r="RHW12" s="93">
        <v>3.9</v>
      </c>
      <c r="RIQ12" s="94" t="s">
        <v>142</v>
      </c>
      <c r="RJB12" s="93">
        <v>3.3</v>
      </c>
      <c r="RJC12" s="93">
        <v>3.9</v>
      </c>
      <c r="RJW12" s="94" t="s">
        <v>142</v>
      </c>
      <c r="RKH12" s="93">
        <v>3.3</v>
      </c>
      <c r="RKI12" s="93">
        <v>3.9</v>
      </c>
      <c r="RLC12" s="94" t="s">
        <v>142</v>
      </c>
      <c r="RLN12" s="93">
        <v>3.3</v>
      </c>
      <c r="RLO12" s="93">
        <v>3.9</v>
      </c>
      <c r="RMI12" s="94" t="s">
        <v>142</v>
      </c>
      <c r="RMT12" s="93">
        <v>3.3</v>
      </c>
      <c r="RMU12" s="93">
        <v>3.9</v>
      </c>
      <c r="RNO12" s="94" t="s">
        <v>142</v>
      </c>
      <c r="RNZ12" s="93">
        <v>3.3</v>
      </c>
      <c r="ROA12" s="93">
        <v>3.9</v>
      </c>
      <c r="ROU12" s="94" t="s">
        <v>142</v>
      </c>
      <c r="RPF12" s="93">
        <v>3.3</v>
      </c>
      <c r="RPG12" s="93">
        <v>3.9</v>
      </c>
      <c r="RQA12" s="94" t="s">
        <v>142</v>
      </c>
      <c r="RQL12" s="93">
        <v>3.3</v>
      </c>
      <c r="RQM12" s="93">
        <v>3.9</v>
      </c>
      <c r="RRG12" s="94" t="s">
        <v>142</v>
      </c>
      <c r="RRR12" s="93">
        <v>3.3</v>
      </c>
      <c r="RRS12" s="93">
        <v>3.9</v>
      </c>
      <c r="RSM12" s="94" t="s">
        <v>142</v>
      </c>
      <c r="RSX12" s="93">
        <v>3.3</v>
      </c>
      <c r="RSY12" s="93">
        <v>3.9</v>
      </c>
      <c r="RTS12" s="94" t="s">
        <v>142</v>
      </c>
      <c r="RUD12" s="93">
        <v>3.3</v>
      </c>
      <c r="RUE12" s="93">
        <v>3.9</v>
      </c>
      <c r="RUY12" s="94" t="s">
        <v>142</v>
      </c>
      <c r="RVJ12" s="93">
        <v>3.3</v>
      </c>
      <c r="RVK12" s="93">
        <v>3.9</v>
      </c>
      <c r="RWE12" s="94" t="s">
        <v>142</v>
      </c>
      <c r="RWP12" s="93">
        <v>3.3</v>
      </c>
      <c r="RWQ12" s="93">
        <v>3.9</v>
      </c>
      <c r="RXK12" s="94" t="s">
        <v>142</v>
      </c>
      <c r="RXV12" s="93">
        <v>3.3</v>
      </c>
      <c r="RXW12" s="93">
        <v>3.9</v>
      </c>
      <c r="RYQ12" s="94" t="s">
        <v>142</v>
      </c>
      <c r="RZB12" s="93">
        <v>3.3</v>
      </c>
      <c r="RZC12" s="93">
        <v>3.9</v>
      </c>
      <c r="RZW12" s="94" t="s">
        <v>142</v>
      </c>
      <c r="SAH12" s="93">
        <v>3.3</v>
      </c>
      <c r="SAI12" s="93">
        <v>3.9</v>
      </c>
      <c r="SBC12" s="94" t="s">
        <v>142</v>
      </c>
      <c r="SBN12" s="93">
        <v>3.3</v>
      </c>
      <c r="SBO12" s="93">
        <v>3.9</v>
      </c>
      <c r="SCI12" s="94" t="s">
        <v>142</v>
      </c>
      <c r="SCT12" s="93">
        <v>3.3</v>
      </c>
      <c r="SCU12" s="93">
        <v>3.9</v>
      </c>
      <c r="SDO12" s="94" t="s">
        <v>142</v>
      </c>
      <c r="SDZ12" s="93">
        <v>3.3</v>
      </c>
      <c r="SEA12" s="93">
        <v>3.9</v>
      </c>
      <c r="SEU12" s="94" t="s">
        <v>142</v>
      </c>
      <c r="SFF12" s="93">
        <v>3.3</v>
      </c>
      <c r="SFG12" s="93">
        <v>3.9</v>
      </c>
      <c r="SGA12" s="94" t="s">
        <v>142</v>
      </c>
      <c r="SGL12" s="93">
        <v>3.3</v>
      </c>
      <c r="SGM12" s="93">
        <v>3.9</v>
      </c>
      <c r="SHG12" s="94" t="s">
        <v>142</v>
      </c>
      <c r="SHR12" s="93">
        <v>3.3</v>
      </c>
      <c r="SHS12" s="93">
        <v>3.9</v>
      </c>
      <c r="SIM12" s="94" t="s">
        <v>142</v>
      </c>
      <c r="SIX12" s="93">
        <v>3.3</v>
      </c>
      <c r="SIY12" s="93">
        <v>3.9</v>
      </c>
      <c r="SJS12" s="94" t="s">
        <v>142</v>
      </c>
      <c r="SKD12" s="93">
        <v>3.3</v>
      </c>
      <c r="SKE12" s="93">
        <v>3.9</v>
      </c>
      <c r="SKY12" s="94" t="s">
        <v>142</v>
      </c>
      <c r="SLJ12" s="93">
        <v>3.3</v>
      </c>
      <c r="SLK12" s="93">
        <v>3.9</v>
      </c>
      <c r="SME12" s="94" t="s">
        <v>142</v>
      </c>
      <c r="SMP12" s="93">
        <v>3.3</v>
      </c>
      <c r="SMQ12" s="93">
        <v>3.9</v>
      </c>
      <c r="SNK12" s="94" t="s">
        <v>142</v>
      </c>
      <c r="SNV12" s="93">
        <v>3.3</v>
      </c>
      <c r="SNW12" s="93">
        <v>3.9</v>
      </c>
      <c r="SOQ12" s="94" t="s">
        <v>142</v>
      </c>
      <c r="SPB12" s="93">
        <v>3.3</v>
      </c>
      <c r="SPC12" s="93">
        <v>3.9</v>
      </c>
      <c r="SPW12" s="94" t="s">
        <v>142</v>
      </c>
      <c r="SQH12" s="93">
        <v>3.3</v>
      </c>
      <c r="SQI12" s="93">
        <v>3.9</v>
      </c>
      <c r="SRC12" s="94" t="s">
        <v>142</v>
      </c>
      <c r="SRN12" s="93">
        <v>3.3</v>
      </c>
      <c r="SRO12" s="93">
        <v>3.9</v>
      </c>
      <c r="SSI12" s="94" t="s">
        <v>142</v>
      </c>
      <c r="SST12" s="93">
        <v>3.3</v>
      </c>
      <c r="SSU12" s="93">
        <v>3.9</v>
      </c>
      <c r="STO12" s="94" t="s">
        <v>142</v>
      </c>
      <c r="STZ12" s="93">
        <v>3.3</v>
      </c>
      <c r="SUA12" s="93">
        <v>3.9</v>
      </c>
      <c r="SUU12" s="94" t="s">
        <v>142</v>
      </c>
      <c r="SVF12" s="93">
        <v>3.3</v>
      </c>
      <c r="SVG12" s="93">
        <v>3.9</v>
      </c>
      <c r="SWA12" s="94" t="s">
        <v>142</v>
      </c>
      <c r="SWL12" s="93">
        <v>3.3</v>
      </c>
      <c r="SWM12" s="93">
        <v>3.9</v>
      </c>
      <c r="SXG12" s="94" t="s">
        <v>142</v>
      </c>
      <c r="SXR12" s="93">
        <v>3.3</v>
      </c>
      <c r="SXS12" s="93">
        <v>3.9</v>
      </c>
      <c r="SYM12" s="94" t="s">
        <v>142</v>
      </c>
      <c r="SYX12" s="93">
        <v>3.3</v>
      </c>
      <c r="SYY12" s="93">
        <v>3.9</v>
      </c>
      <c r="SZS12" s="94" t="s">
        <v>142</v>
      </c>
      <c r="TAD12" s="93">
        <v>3.3</v>
      </c>
      <c r="TAE12" s="93">
        <v>3.9</v>
      </c>
      <c r="TAY12" s="94" t="s">
        <v>142</v>
      </c>
      <c r="TBJ12" s="93">
        <v>3.3</v>
      </c>
      <c r="TBK12" s="93">
        <v>3.9</v>
      </c>
      <c r="TCE12" s="94" t="s">
        <v>142</v>
      </c>
      <c r="TCP12" s="93">
        <v>3.3</v>
      </c>
      <c r="TCQ12" s="93">
        <v>3.9</v>
      </c>
      <c r="TDK12" s="94" t="s">
        <v>142</v>
      </c>
      <c r="TDV12" s="93">
        <v>3.3</v>
      </c>
      <c r="TDW12" s="93">
        <v>3.9</v>
      </c>
      <c r="TEQ12" s="94" t="s">
        <v>142</v>
      </c>
      <c r="TFB12" s="93">
        <v>3.3</v>
      </c>
      <c r="TFC12" s="93">
        <v>3.9</v>
      </c>
      <c r="TFW12" s="94" t="s">
        <v>142</v>
      </c>
      <c r="TGH12" s="93">
        <v>3.3</v>
      </c>
      <c r="TGI12" s="93">
        <v>3.9</v>
      </c>
      <c r="THC12" s="94" t="s">
        <v>142</v>
      </c>
      <c r="THN12" s="93">
        <v>3.3</v>
      </c>
      <c r="THO12" s="93">
        <v>3.9</v>
      </c>
      <c r="TII12" s="94" t="s">
        <v>142</v>
      </c>
      <c r="TIT12" s="93">
        <v>3.3</v>
      </c>
      <c r="TIU12" s="93">
        <v>3.9</v>
      </c>
      <c r="TJO12" s="94" t="s">
        <v>142</v>
      </c>
      <c r="TJZ12" s="93">
        <v>3.3</v>
      </c>
      <c r="TKA12" s="93">
        <v>3.9</v>
      </c>
      <c r="TKU12" s="94" t="s">
        <v>142</v>
      </c>
      <c r="TLF12" s="93">
        <v>3.3</v>
      </c>
      <c r="TLG12" s="93">
        <v>3.9</v>
      </c>
      <c r="TMA12" s="94" t="s">
        <v>142</v>
      </c>
      <c r="TML12" s="93">
        <v>3.3</v>
      </c>
      <c r="TMM12" s="93">
        <v>3.9</v>
      </c>
      <c r="TNG12" s="94" t="s">
        <v>142</v>
      </c>
      <c r="TNR12" s="93">
        <v>3.3</v>
      </c>
      <c r="TNS12" s="93">
        <v>3.9</v>
      </c>
      <c r="TOM12" s="94" t="s">
        <v>142</v>
      </c>
      <c r="TOX12" s="93">
        <v>3.3</v>
      </c>
      <c r="TOY12" s="93">
        <v>3.9</v>
      </c>
      <c r="TPS12" s="94" t="s">
        <v>142</v>
      </c>
      <c r="TQD12" s="93">
        <v>3.3</v>
      </c>
      <c r="TQE12" s="93">
        <v>3.9</v>
      </c>
      <c r="TQY12" s="94" t="s">
        <v>142</v>
      </c>
      <c r="TRJ12" s="93">
        <v>3.3</v>
      </c>
      <c r="TRK12" s="93">
        <v>3.9</v>
      </c>
      <c r="TSE12" s="94" t="s">
        <v>142</v>
      </c>
      <c r="TSP12" s="93">
        <v>3.3</v>
      </c>
      <c r="TSQ12" s="93">
        <v>3.9</v>
      </c>
      <c r="TTK12" s="94" t="s">
        <v>142</v>
      </c>
      <c r="TTV12" s="93">
        <v>3.3</v>
      </c>
      <c r="TTW12" s="93">
        <v>3.9</v>
      </c>
      <c r="TUQ12" s="94" t="s">
        <v>142</v>
      </c>
      <c r="TVB12" s="93">
        <v>3.3</v>
      </c>
      <c r="TVC12" s="93">
        <v>3.9</v>
      </c>
      <c r="TVW12" s="94" t="s">
        <v>142</v>
      </c>
      <c r="TWH12" s="93">
        <v>3.3</v>
      </c>
      <c r="TWI12" s="93">
        <v>3.9</v>
      </c>
      <c r="TXC12" s="94" t="s">
        <v>142</v>
      </c>
      <c r="TXN12" s="93">
        <v>3.3</v>
      </c>
      <c r="TXO12" s="93">
        <v>3.9</v>
      </c>
      <c r="TYI12" s="94" t="s">
        <v>142</v>
      </c>
      <c r="TYT12" s="93">
        <v>3.3</v>
      </c>
      <c r="TYU12" s="93">
        <v>3.9</v>
      </c>
      <c r="TZO12" s="94" t="s">
        <v>142</v>
      </c>
      <c r="TZZ12" s="93">
        <v>3.3</v>
      </c>
      <c r="UAA12" s="93">
        <v>3.9</v>
      </c>
      <c r="UAU12" s="94" t="s">
        <v>142</v>
      </c>
      <c r="UBF12" s="93">
        <v>3.3</v>
      </c>
      <c r="UBG12" s="93">
        <v>3.9</v>
      </c>
      <c r="UCA12" s="94" t="s">
        <v>142</v>
      </c>
      <c r="UCL12" s="93">
        <v>3.3</v>
      </c>
      <c r="UCM12" s="93">
        <v>3.9</v>
      </c>
      <c r="UDG12" s="94" t="s">
        <v>142</v>
      </c>
      <c r="UDR12" s="93">
        <v>3.3</v>
      </c>
      <c r="UDS12" s="93">
        <v>3.9</v>
      </c>
      <c r="UEM12" s="94" t="s">
        <v>142</v>
      </c>
      <c r="UEX12" s="93">
        <v>3.3</v>
      </c>
      <c r="UEY12" s="93">
        <v>3.9</v>
      </c>
      <c r="UFS12" s="94" t="s">
        <v>142</v>
      </c>
      <c r="UGD12" s="93">
        <v>3.3</v>
      </c>
      <c r="UGE12" s="93">
        <v>3.9</v>
      </c>
      <c r="UGY12" s="94" t="s">
        <v>142</v>
      </c>
      <c r="UHJ12" s="93">
        <v>3.3</v>
      </c>
      <c r="UHK12" s="93">
        <v>3.9</v>
      </c>
      <c r="UIE12" s="94" t="s">
        <v>142</v>
      </c>
      <c r="UIP12" s="93">
        <v>3.3</v>
      </c>
      <c r="UIQ12" s="93">
        <v>3.9</v>
      </c>
      <c r="UJK12" s="94" t="s">
        <v>142</v>
      </c>
      <c r="UJV12" s="93">
        <v>3.3</v>
      </c>
      <c r="UJW12" s="93">
        <v>3.9</v>
      </c>
      <c r="UKQ12" s="94" t="s">
        <v>142</v>
      </c>
      <c r="ULB12" s="93">
        <v>3.3</v>
      </c>
      <c r="ULC12" s="93">
        <v>3.9</v>
      </c>
      <c r="ULW12" s="94" t="s">
        <v>142</v>
      </c>
      <c r="UMH12" s="93">
        <v>3.3</v>
      </c>
      <c r="UMI12" s="93">
        <v>3.9</v>
      </c>
      <c r="UNC12" s="94" t="s">
        <v>142</v>
      </c>
      <c r="UNN12" s="93">
        <v>3.3</v>
      </c>
      <c r="UNO12" s="93">
        <v>3.9</v>
      </c>
      <c r="UOI12" s="94" t="s">
        <v>142</v>
      </c>
      <c r="UOT12" s="93">
        <v>3.3</v>
      </c>
      <c r="UOU12" s="93">
        <v>3.9</v>
      </c>
      <c r="UPO12" s="94" t="s">
        <v>142</v>
      </c>
      <c r="UPZ12" s="93">
        <v>3.3</v>
      </c>
      <c r="UQA12" s="93">
        <v>3.9</v>
      </c>
      <c r="UQU12" s="94" t="s">
        <v>142</v>
      </c>
      <c r="URF12" s="93">
        <v>3.3</v>
      </c>
      <c r="URG12" s="93">
        <v>3.9</v>
      </c>
      <c r="USA12" s="94" t="s">
        <v>142</v>
      </c>
      <c r="USL12" s="93">
        <v>3.3</v>
      </c>
      <c r="USM12" s="93">
        <v>3.9</v>
      </c>
      <c r="UTG12" s="94" t="s">
        <v>142</v>
      </c>
      <c r="UTR12" s="93">
        <v>3.3</v>
      </c>
      <c r="UTS12" s="93">
        <v>3.9</v>
      </c>
      <c r="UUM12" s="94" t="s">
        <v>142</v>
      </c>
      <c r="UUX12" s="93">
        <v>3.3</v>
      </c>
      <c r="UUY12" s="93">
        <v>3.9</v>
      </c>
      <c r="UVS12" s="94" t="s">
        <v>142</v>
      </c>
      <c r="UWD12" s="93">
        <v>3.3</v>
      </c>
      <c r="UWE12" s="93">
        <v>3.9</v>
      </c>
      <c r="UWY12" s="94" t="s">
        <v>142</v>
      </c>
      <c r="UXJ12" s="93">
        <v>3.3</v>
      </c>
      <c r="UXK12" s="93">
        <v>3.9</v>
      </c>
      <c r="UYE12" s="94" t="s">
        <v>142</v>
      </c>
      <c r="UYP12" s="93">
        <v>3.3</v>
      </c>
      <c r="UYQ12" s="93">
        <v>3.9</v>
      </c>
      <c r="UZK12" s="94" t="s">
        <v>142</v>
      </c>
      <c r="UZV12" s="93">
        <v>3.3</v>
      </c>
      <c r="UZW12" s="93">
        <v>3.9</v>
      </c>
      <c r="VAQ12" s="94" t="s">
        <v>142</v>
      </c>
      <c r="VBB12" s="93">
        <v>3.3</v>
      </c>
      <c r="VBC12" s="93">
        <v>3.9</v>
      </c>
      <c r="VBW12" s="94" t="s">
        <v>142</v>
      </c>
      <c r="VCH12" s="93">
        <v>3.3</v>
      </c>
      <c r="VCI12" s="93">
        <v>3.9</v>
      </c>
      <c r="VDC12" s="94" t="s">
        <v>142</v>
      </c>
      <c r="VDN12" s="93">
        <v>3.3</v>
      </c>
      <c r="VDO12" s="93">
        <v>3.9</v>
      </c>
      <c r="VEI12" s="94" t="s">
        <v>142</v>
      </c>
      <c r="VET12" s="93">
        <v>3.3</v>
      </c>
      <c r="VEU12" s="93">
        <v>3.9</v>
      </c>
      <c r="VFO12" s="94" t="s">
        <v>142</v>
      </c>
      <c r="VFZ12" s="93">
        <v>3.3</v>
      </c>
      <c r="VGA12" s="93">
        <v>3.9</v>
      </c>
      <c r="VGU12" s="94" t="s">
        <v>142</v>
      </c>
      <c r="VHF12" s="93">
        <v>3.3</v>
      </c>
      <c r="VHG12" s="93">
        <v>3.9</v>
      </c>
      <c r="VIA12" s="94" t="s">
        <v>142</v>
      </c>
      <c r="VIL12" s="93">
        <v>3.3</v>
      </c>
      <c r="VIM12" s="93">
        <v>3.9</v>
      </c>
      <c r="VJG12" s="94" t="s">
        <v>142</v>
      </c>
      <c r="VJR12" s="93">
        <v>3.3</v>
      </c>
      <c r="VJS12" s="93">
        <v>3.9</v>
      </c>
      <c r="VKM12" s="94" t="s">
        <v>142</v>
      </c>
      <c r="VKX12" s="93">
        <v>3.3</v>
      </c>
      <c r="VKY12" s="93">
        <v>3.9</v>
      </c>
      <c r="VLS12" s="94" t="s">
        <v>142</v>
      </c>
      <c r="VMD12" s="93">
        <v>3.3</v>
      </c>
      <c r="VME12" s="93">
        <v>3.9</v>
      </c>
      <c r="VMY12" s="94" t="s">
        <v>142</v>
      </c>
      <c r="VNJ12" s="93">
        <v>3.3</v>
      </c>
      <c r="VNK12" s="93">
        <v>3.9</v>
      </c>
      <c r="VOE12" s="94" t="s">
        <v>142</v>
      </c>
      <c r="VOP12" s="93">
        <v>3.3</v>
      </c>
      <c r="VOQ12" s="93">
        <v>3.9</v>
      </c>
      <c r="VPK12" s="94" t="s">
        <v>142</v>
      </c>
      <c r="VPV12" s="93">
        <v>3.3</v>
      </c>
      <c r="VPW12" s="93">
        <v>3.9</v>
      </c>
      <c r="VQQ12" s="94" t="s">
        <v>142</v>
      </c>
      <c r="VRB12" s="93">
        <v>3.3</v>
      </c>
      <c r="VRC12" s="93">
        <v>3.9</v>
      </c>
      <c r="VRW12" s="94" t="s">
        <v>142</v>
      </c>
      <c r="VSH12" s="93">
        <v>3.3</v>
      </c>
      <c r="VSI12" s="93">
        <v>3.9</v>
      </c>
      <c r="VTC12" s="94" t="s">
        <v>142</v>
      </c>
      <c r="VTN12" s="93">
        <v>3.3</v>
      </c>
      <c r="VTO12" s="93">
        <v>3.9</v>
      </c>
      <c r="VUI12" s="94" t="s">
        <v>142</v>
      </c>
      <c r="VUT12" s="93">
        <v>3.3</v>
      </c>
      <c r="VUU12" s="93">
        <v>3.9</v>
      </c>
      <c r="VVO12" s="94" t="s">
        <v>142</v>
      </c>
      <c r="VVZ12" s="93">
        <v>3.3</v>
      </c>
      <c r="VWA12" s="93">
        <v>3.9</v>
      </c>
      <c r="VWU12" s="94" t="s">
        <v>142</v>
      </c>
      <c r="VXF12" s="93">
        <v>3.3</v>
      </c>
      <c r="VXG12" s="93">
        <v>3.9</v>
      </c>
      <c r="VYA12" s="94" t="s">
        <v>142</v>
      </c>
      <c r="VYL12" s="93">
        <v>3.3</v>
      </c>
      <c r="VYM12" s="93">
        <v>3.9</v>
      </c>
      <c r="VZG12" s="94" t="s">
        <v>142</v>
      </c>
      <c r="VZR12" s="93">
        <v>3.3</v>
      </c>
      <c r="VZS12" s="93">
        <v>3.9</v>
      </c>
      <c r="WAM12" s="94" t="s">
        <v>142</v>
      </c>
      <c r="WAX12" s="93">
        <v>3.3</v>
      </c>
      <c r="WAY12" s="93">
        <v>3.9</v>
      </c>
      <c r="WBS12" s="94" t="s">
        <v>142</v>
      </c>
      <c r="WCD12" s="93">
        <v>3.3</v>
      </c>
      <c r="WCE12" s="93">
        <v>3.9</v>
      </c>
      <c r="WCY12" s="94" t="s">
        <v>142</v>
      </c>
      <c r="WDJ12" s="93">
        <v>3.3</v>
      </c>
      <c r="WDK12" s="93">
        <v>3.9</v>
      </c>
      <c r="WEE12" s="94" t="s">
        <v>142</v>
      </c>
      <c r="WEP12" s="93">
        <v>3.3</v>
      </c>
      <c r="WEQ12" s="93">
        <v>3.9</v>
      </c>
      <c r="WFK12" s="94" t="s">
        <v>142</v>
      </c>
      <c r="WFV12" s="93">
        <v>3.3</v>
      </c>
      <c r="WFW12" s="93">
        <v>3.9</v>
      </c>
      <c r="WGQ12" s="94" t="s">
        <v>142</v>
      </c>
      <c r="WHB12" s="93">
        <v>3.3</v>
      </c>
      <c r="WHC12" s="93">
        <v>3.9</v>
      </c>
      <c r="WHW12" s="94" t="s">
        <v>142</v>
      </c>
      <c r="WIH12" s="93">
        <v>3.3</v>
      </c>
      <c r="WII12" s="93">
        <v>3.9</v>
      </c>
      <c r="WJC12" s="94" t="s">
        <v>142</v>
      </c>
      <c r="WJN12" s="93">
        <v>3.3</v>
      </c>
      <c r="WJO12" s="93">
        <v>3.9</v>
      </c>
      <c r="WKI12" s="94" t="s">
        <v>142</v>
      </c>
      <c r="WKT12" s="93">
        <v>3.3</v>
      </c>
      <c r="WKU12" s="93">
        <v>3.9</v>
      </c>
      <c r="WLO12" s="94" t="s">
        <v>142</v>
      </c>
      <c r="WLZ12" s="93">
        <v>3.3</v>
      </c>
      <c r="WMA12" s="93">
        <v>3.9</v>
      </c>
      <c r="WMU12" s="94" t="s">
        <v>142</v>
      </c>
      <c r="WNF12" s="93">
        <v>3.3</v>
      </c>
      <c r="WNG12" s="93">
        <v>3.9</v>
      </c>
      <c r="WOA12" s="94" t="s">
        <v>142</v>
      </c>
      <c r="WOL12" s="93">
        <v>3.3</v>
      </c>
      <c r="WOM12" s="93">
        <v>3.9</v>
      </c>
      <c r="WPG12" s="94" t="s">
        <v>142</v>
      </c>
      <c r="WPR12" s="93">
        <v>3.3</v>
      </c>
      <c r="WPS12" s="93">
        <v>3.9</v>
      </c>
      <c r="WQM12" s="94" t="s">
        <v>142</v>
      </c>
      <c r="WQX12" s="93">
        <v>3.3</v>
      </c>
      <c r="WQY12" s="93">
        <v>3.9</v>
      </c>
      <c r="WRS12" s="94" t="s">
        <v>142</v>
      </c>
      <c r="WSD12" s="93">
        <v>3.3</v>
      </c>
      <c r="WSE12" s="93">
        <v>3.9</v>
      </c>
      <c r="WSY12" s="94" t="s">
        <v>142</v>
      </c>
      <c r="WTJ12" s="93">
        <v>3.3</v>
      </c>
      <c r="WTK12" s="93">
        <v>3.9</v>
      </c>
      <c r="WUE12" s="94" t="s">
        <v>142</v>
      </c>
      <c r="WUP12" s="93">
        <v>3.3</v>
      </c>
      <c r="WUQ12" s="93">
        <v>3.9</v>
      </c>
      <c r="WVK12" s="94" t="s">
        <v>142</v>
      </c>
      <c r="WVV12" s="93">
        <v>3.3</v>
      </c>
      <c r="WVW12" s="93">
        <v>3.9</v>
      </c>
      <c r="WWQ12" s="94" t="s">
        <v>142</v>
      </c>
      <c r="WXB12" s="93">
        <v>3.3</v>
      </c>
      <c r="WXC12" s="93">
        <v>3.9</v>
      </c>
      <c r="WXW12" s="94" t="s">
        <v>142</v>
      </c>
      <c r="WYH12" s="93">
        <v>3.3</v>
      </c>
      <c r="WYI12" s="93">
        <v>3.9</v>
      </c>
      <c r="WZC12" s="94" t="s">
        <v>142</v>
      </c>
      <c r="WZN12" s="93">
        <v>3.3</v>
      </c>
      <c r="WZO12" s="93">
        <v>3.9</v>
      </c>
      <c r="XAI12" s="94" t="s">
        <v>142</v>
      </c>
      <c r="XAT12" s="93">
        <v>3.3</v>
      </c>
      <c r="XAU12" s="93">
        <v>3.9</v>
      </c>
      <c r="XBO12" s="94" t="s">
        <v>142</v>
      </c>
      <c r="XBZ12" s="93">
        <v>3.3</v>
      </c>
      <c r="XCA12" s="93">
        <v>3.9</v>
      </c>
      <c r="XCU12" s="94" t="s">
        <v>142</v>
      </c>
      <c r="XDF12" s="93">
        <v>3.3</v>
      </c>
      <c r="XDG12" s="93">
        <v>3.9</v>
      </c>
      <c r="XEA12" s="94" t="s">
        <v>142</v>
      </c>
      <c r="XEL12" s="93">
        <v>3.3</v>
      </c>
      <c r="XEM12" s="93">
        <v>3.9</v>
      </c>
    </row>
    <row r="13" spans="2:1007 1026:2031 2050:3055 3074:4079 4098:5103 5122:6127 6146:7151 7170:8175 8194:9199 9218:10223 10242:11247 11266:12271 12290:13295 13314:14319 14338:15343 15362:16367" s="94" customFormat="1">
      <c r="C13" s="94" t="s">
        <v>143</v>
      </c>
      <c r="AI13" s="94" t="s">
        <v>143</v>
      </c>
      <c r="BO13" s="94" t="s">
        <v>143</v>
      </c>
      <c r="CU13" s="94" t="s">
        <v>143</v>
      </c>
      <c r="EA13" s="94" t="s">
        <v>143</v>
      </c>
      <c r="FG13" s="94" t="s">
        <v>143</v>
      </c>
      <c r="GM13" s="94" t="s">
        <v>143</v>
      </c>
      <c r="HS13" s="94" t="s">
        <v>143</v>
      </c>
      <c r="IY13" s="94" t="s">
        <v>143</v>
      </c>
      <c r="KE13" s="94" t="s">
        <v>143</v>
      </c>
      <c r="LK13" s="94" t="s">
        <v>143</v>
      </c>
      <c r="MQ13" s="94" t="s">
        <v>143</v>
      </c>
      <c r="NW13" s="94" t="s">
        <v>143</v>
      </c>
      <c r="PC13" s="94" t="s">
        <v>143</v>
      </c>
      <c r="QI13" s="94" t="s">
        <v>143</v>
      </c>
      <c r="RO13" s="94" t="s">
        <v>143</v>
      </c>
      <c r="SU13" s="94" t="s">
        <v>143</v>
      </c>
      <c r="UA13" s="94" t="s">
        <v>143</v>
      </c>
      <c r="VG13" s="94" t="s">
        <v>143</v>
      </c>
      <c r="WM13" s="94" t="s">
        <v>143</v>
      </c>
      <c r="XS13" s="94" t="s">
        <v>143</v>
      </c>
      <c r="YY13" s="94" t="s">
        <v>143</v>
      </c>
      <c r="AAE13" s="94" t="s">
        <v>143</v>
      </c>
      <c r="ABK13" s="94" t="s">
        <v>143</v>
      </c>
      <c r="ACQ13" s="94" t="s">
        <v>143</v>
      </c>
      <c r="ADW13" s="94" t="s">
        <v>143</v>
      </c>
      <c r="AFC13" s="94" t="s">
        <v>143</v>
      </c>
      <c r="AGI13" s="94" t="s">
        <v>143</v>
      </c>
      <c r="AHO13" s="94" t="s">
        <v>143</v>
      </c>
      <c r="AIU13" s="94" t="s">
        <v>143</v>
      </c>
      <c r="AKA13" s="94" t="s">
        <v>143</v>
      </c>
      <c r="ALG13" s="94" t="s">
        <v>143</v>
      </c>
      <c r="AMM13" s="94" t="s">
        <v>143</v>
      </c>
      <c r="ANS13" s="94" t="s">
        <v>143</v>
      </c>
      <c r="AOY13" s="94" t="s">
        <v>143</v>
      </c>
      <c r="AQE13" s="94" t="s">
        <v>143</v>
      </c>
      <c r="ARK13" s="94" t="s">
        <v>143</v>
      </c>
      <c r="ASQ13" s="94" t="s">
        <v>143</v>
      </c>
      <c r="ATW13" s="94" t="s">
        <v>143</v>
      </c>
      <c r="AVC13" s="94" t="s">
        <v>143</v>
      </c>
      <c r="AWI13" s="94" t="s">
        <v>143</v>
      </c>
      <c r="AXO13" s="94" t="s">
        <v>143</v>
      </c>
      <c r="AYU13" s="94" t="s">
        <v>143</v>
      </c>
      <c r="BAA13" s="94" t="s">
        <v>143</v>
      </c>
      <c r="BBG13" s="94" t="s">
        <v>143</v>
      </c>
      <c r="BCM13" s="94" t="s">
        <v>143</v>
      </c>
      <c r="BDS13" s="94" t="s">
        <v>143</v>
      </c>
      <c r="BEY13" s="94" t="s">
        <v>143</v>
      </c>
      <c r="BGE13" s="94" t="s">
        <v>143</v>
      </c>
      <c r="BHK13" s="94" t="s">
        <v>143</v>
      </c>
      <c r="BIQ13" s="94" t="s">
        <v>143</v>
      </c>
      <c r="BJW13" s="94" t="s">
        <v>143</v>
      </c>
      <c r="BLC13" s="94" t="s">
        <v>143</v>
      </c>
      <c r="BMI13" s="94" t="s">
        <v>143</v>
      </c>
      <c r="BNO13" s="94" t="s">
        <v>143</v>
      </c>
      <c r="BOU13" s="94" t="s">
        <v>143</v>
      </c>
      <c r="BQA13" s="94" t="s">
        <v>143</v>
      </c>
      <c r="BRG13" s="94" t="s">
        <v>143</v>
      </c>
      <c r="BSM13" s="94" t="s">
        <v>143</v>
      </c>
      <c r="BTS13" s="94" t="s">
        <v>143</v>
      </c>
      <c r="BUY13" s="94" t="s">
        <v>143</v>
      </c>
      <c r="BWE13" s="94" t="s">
        <v>143</v>
      </c>
      <c r="BXK13" s="94" t="s">
        <v>143</v>
      </c>
      <c r="BYQ13" s="94" t="s">
        <v>143</v>
      </c>
      <c r="BZW13" s="94" t="s">
        <v>143</v>
      </c>
      <c r="CBC13" s="94" t="s">
        <v>143</v>
      </c>
      <c r="CCI13" s="94" t="s">
        <v>143</v>
      </c>
      <c r="CDO13" s="94" t="s">
        <v>143</v>
      </c>
      <c r="CEU13" s="94" t="s">
        <v>143</v>
      </c>
      <c r="CGA13" s="94" t="s">
        <v>143</v>
      </c>
      <c r="CHG13" s="94" t="s">
        <v>143</v>
      </c>
      <c r="CIM13" s="94" t="s">
        <v>143</v>
      </c>
      <c r="CJS13" s="94" t="s">
        <v>143</v>
      </c>
      <c r="CKY13" s="94" t="s">
        <v>143</v>
      </c>
      <c r="CME13" s="94" t="s">
        <v>143</v>
      </c>
      <c r="CNK13" s="94" t="s">
        <v>143</v>
      </c>
      <c r="COQ13" s="94" t="s">
        <v>143</v>
      </c>
      <c r="CPW13" s="94" t="s">
        <v>143</v>
      </c>
      <c r="CRC13" s="94" t="s">
        <v>143</v>
      </c>
      <c r="CSI13" s="94" t="s">
        <v>143</v>
      </c>
      <c r="CTO13" s="94" t="s">
        <v>143</v>
      </c>
      <c r="CUU13" s="94" t="s">
        <v>143</v>
      </c>
      <c r="CWA13" s="94" t="s">
        <v>143</v>
      </c>
      <c r="CXG13" s="94" t="s">
        <v>143</v>
      </c>
      <c r="CYM13" s="94" t="s">
        <v>143</v>
      </c>
      <c r="CZS13" s="94" t="s">
        <v>143</v>
      </c>
      <c r="DAY13" s="94" t="s">
        <v>143</v>
      </c>
      <c r="DCE13" s="94" t="s">
        <v>143</v>
      </c>
      <c r="DDK13" s="94" t="s">
        <v>143</v>
      </c>
      <c r="DEQ13" s="94" t="s">
        <v>143</v>
      </c>
      <c r="DFW13" s="94" t="s">
        <v>143</v>
      </c>
      <c r="DHC13" s="94" t="s">
        <v>143</v>
      </c>
      <c r="DII13" s="94" t="s">
        <v>143</v>
      </c>
      <c r="DJO13" s="94" t="s">
        <v>143</v>
      </c>
      <c r="DKU13" s="94" t="s">
        <v>143</v>
      </c>
      <c r="DMA13" s="94" t="s">
        <v>143</v>
      </c>
      <c r="DNG13" s="94" t="s">
        <v>143</v>
      </c>
      <c r="DOM13" s="94" t="s">
        <v>143</v>
      </c>
      <c r="DPS13" s="94" t="s">
        <v>143</v>
      </c>
      <c r="DQY13" s="94" t="s">
        <v>143</v>
      </c>
      <c r="DSE13" s="94" t="s">
        <v>143</v>
      </c>
      <c r="DTK13" s="94" t="s">
        <v>143</v>
      </c>
      <c r="DUQ13" s="94" t="s">
        <v>143</v>
      </c>
      <c r="DVW13" s="94" t="s">
        <v>143</v>
      </c>
      <c r="DXC13" s="94" t="s">
        <v>143</v>
      </c>
      <c r="DYI13" s="94" t="s">
        <v>143</v>
      </c>
      <c r="DZO13" s="94" t="s">
        <v>143</v>
      </c>
      <c r="EAU13" s="94" t="s">
        <v>143</v>
      </c>
      <c r="ECA13" s="94" t="s">
        <v>143</v>
      </c>
      <c r="EDG13" s="94" t="s">
        <v>143</v>
      </c>
      <c r="EEM13" s="94" t="s">
        <v>143</v>
      </c>
      <c r="EFS13" s="94" t="s">
        <v>143</v>
      </c>
      <c r="EGY13" s="94" t="s">
        <v>143</v>
      </c>
      <c r="EIE13" s="94" t="s">
        <v>143</v>
      </c>
      <c r="EJK13" s="94" t="s">
        <v>143</v>
      </c>
      <c r="EKQ13" s="94" t="s">
        <v>143</v>
      </c>
      <c r="ELW13" s="94" t="s">
        <v>143</v>
      </c>
      <c r="ENC13" s="94" t="s">
        <v>143</v>
      </c>
      <c r="EOI13" s="94" t="s">
        <v>143</v>
      </c>
      <c r="EPO13" s="94" t="s">
        <v>143</v>
      </c>
      <c r="EQU13" s="94" t="s">
        <v>143</v>
      </c>
      <c r="ESA13" s="94" t="s">
        <v>143</v>
      </c>
      <c r="ETG13" s="94" t="s">
        <v>143</v>
      </c>
      <c r="EUM13" s="94" t="s">
        <v>143</v>
      </c>
      <c r="EVS13" s="94" t="s">
        <v>143</v>
      </c>
      <c r="EWY13" s="94" t="s">
        <v>143</v>
      </c>
      <c r="EYE13" s="94" t="s">
        <v>143</v>
      </c>
      <c r="EZK13" s="94" t="s">
        <v>143</v>
      </c>
      <c r="FAQ13" s="94" t="s">
        <v>143</v>
      </c>
      <c r="FBW13" s="94" t="s">
        <v>143</v>
      </c>
      <c r="FDC13" s="94" t="s">
        <v>143</v>
      </c>
      <c r="FEI13" s="94" t="s">
        <v>143</v>
      </c>
      <c r="FFO13" s="94" t="s">
        <v>143</v>
      </c>
      <c r="FGU13" s="94" t="s">
        <v>143</v>
      </c>
      <c r="FIA13" s="94" t="s">
        <v>143</v>
      </c>
      <c r="FJG13" s="94" t="s">
        <v>143</v>
      </c>
      <c r="FKM13" s="94" t="s">
        <v>143</v>
      </c>
      <c r="FLS13" s="94" t="s">
        <v>143</v>
      </c>
      <c r="FMY13" s="94" t="s">
        <v>143</v>
      </c>
      <c r="FOE13" s="94" t="s">
        <v>143</v>
      </c>
      <c r="FPK13" s="94" t="s">
        <v>143</v>
      </c>
      <c r="FQQ13" s="94" t="s">
        <v>143</v>
      </c>
      <c r="FRW13" s="94" t="s">
        <v>143</v>
      </c>
      <c r="FTC13" s="94" t="s">
        <v>143</v>
      </c>
      <c r="FUI13" s="94" t="s">
        <v>143</v>
      </c>
      <c r="FVO13" s="94" t="s">
        <v>143</v>
      </c>
      <c r="FWU13" s="94" t="s">
        <v>143</v>
      </c>
      <c r="FYA13" s="94" t="s">
        <v>143</v>
      </c>
      <c r="FZG13" s="94" t="s">
        <v>143</v>
      </c>
      <c r="GAM13" s="94" t="s">
        <v>143</v>
      </c>
      <c r="GBS13" s="94" t="s">
        <v>143</v>
      </c>
      <c r="GCY13" s="94" t="s">
        <v>143</v>
      </c>
      <c r="GEE13" s="94" t="s">
        <v>143</v>
      </c>
      <c r="GFK13" s="94" t="s">
        <v>143</v>
      </c>
      <c r="GGQ13" s="94" t="s">
        <v>143</v>
      </c>
      <c r="GHW13" s="94" t="s">
        <v>143</v>
      </c>
      <c r="GJC13" s="94" t="s">
        <v>143</v>
      </c>
      <c r="GKI13" s="94" t="s">
        <v>143</v>
      </c>
      <c r="GLO13" s="94" t="s">
        <v>143</v>
      </c>
      <c r="GMU13" s="94" t="s">
        <v>143</v>
      </c>
      <c r="GOA13" s="94" t="s">
        <v>143</v>
      </c>
      <c r="GPG13" s="94" t="s">
        <v>143</v>
      </c>
      <c r="GQM13" s="94" t="s">
        <v>143</v>
      </c>
      <c r="GRS13" s="94" t="s">
        <v>143</v>
      </c>
      <c r="GSY13" s="94" t="s">
        <v>143</v>
      </c>
      <c r="GUE13" s="94" t="s">
        <v>143</v>
      </c>
      <c r="GVK13" s="94" t="s">
        <v>143</v>
      </c>
      <c r="GWQ13" s="94" t="s">
        <v>143</v>
      </c>
      <c r="GXW13" s="94" t="s">
        <v>143</v>
      </c>
      <c r="GZC13" s="94" t="s">
        <v>143</v>
      </c>
      <c r="HAI13" s="94" t="s">
        <v>143</v>
      </c>
      <c r="HBO13" s="94" t="s">
        <v>143</v>
      </c>
      <c r="HCU13" s="94" t="s">
        <v>143</v>
      </c>
      <c r="HEA13" s="94" t="s">
        <v>143</v>
      </c>
      <c r="HFG13" s="94" t="s">
        <v>143</v>
      </c>
      <c r="HGM13" s="94" t="s">
        <v>143</v>
      </c>
      <c r="HHS13" s="94" t="s">
        <v>143</v>
      </c>
      <c r="HIY13" s="94" t="s">
        <v>143</v>
      </c>
      <c r="HKE13" s="94" t="s">
        <v>143</v>
      </c>
      <c r="HLK13" s="94" t="s">
        <v>143</v>
      </c>
      <c r="HMQ13" s="94" t="s">
        <v>143</v>
      </c>
      <c r="HNW13" s="94" t="s">
        <v>143</v>
      </c>
      <c r="HPC13" s="94" t="s">
        <v>143</v>
      </c>
      <c r="HQI13" s="94" t="s">
        <v>143</v>
      </c>
      <c r="HRO13" s="94" t="s">
        <v>143</v>
      </c>
      <c r="HSU13" s="94" t="s">
        <v>143</v>
      </c>
      <c r="HUA13" s="94" t="s">
        <v>143</v>
      </c>
      <c r="HVG13" s="94" t="s">
        <v>143</v>
      </c>
      <c r="HWM13" s="94" t="s">
        <v>143</v>
      </c>
      <c r="HXS13" s="94" t="s">
        <v>143</v>
      </c>
      <c r="HYY13" s="94" t="s">
        <v>143</v>
      </c>
      <c r="IAE13" s="94" t="s">
        <v>143</v>
      </c>
      <c r="IBK13" s="94" t="s">
        <v>143</v>
      </c>
      <c r="ICQ13" s="94" t="s">
        <v>143</v>
      </c>
      <c r="IDW13" s="94" t="s">
        <v>143</v>
      </c>
      <c r="IFC13" s="94" t="s">
        <v>143</v>
      </c>
      <c r="IGI13" s="94" t="s">
        <v>143</v>
      </c>
      <c r="IHO13" s="94" t="s">
        <v>143</v>
      </c>
      <c r="IIU13" s="94" t="s">
        <v>143</v>
      </c>
      <c r="IKA13" s="94" t="s">
        <v>143</v>
      </c>
      <c r="ILG13" s="94" t="s">
        <v>143</v>
      </c>
      <c r="IMM13" s="94" t="s">
        <v>143</v>
      </c>
      <c r="INS13" s="94" t="s">
        <v>143</v>
      </c>
      <c r="IOY13" s="94" t="s">
        <v>143</v>
      </c>
      <c r="IQE13" s="94" t="s">
        <v>143</v>
      </c>
      <c r="IRK13" s="94" t="s">
        <v>143</v>
      </c>
      <c r="ISQ13" s="94" t="s">
        <v>143</v>
      </c>
      <c r="ITW13" s="94" t="s">
        <v>143</v>
      </c>
      <c r="IVC13" s="94" t="s">
        <v>143</v>
      </c>
      <c r="IWI13" s="94" t="s">
        <v>143</v>
      </c>
      <c r="IXO13" s="94" t="s">
        <v>143</v>
      </c>
      <c r="IYU13" s="94" t="s">
        <v>143</v>
      </c>
      <c r="JAA13" s="94" t="s">
        <v>143</v>
      </c>
      <c r="JBG13" s="94" t="s">
        <v>143</v>
      </c>
      <c r="JCM13" s="94" t="s">
        <v>143</v>
      </c>
      <c r="JDS13" s="94" t="s">
        <v>143</v>
      </c>
      <c r="JEY13" s="94" t="s">
        <v>143</v>
      </c>
      <c r="JGE13" s="94" t="s">
        <v>143</v>
      </c>
      <c r="JHK13" s="94" t="s">
        <v>143</v>
      </c>
      <c r="JIQ13" s="94" t="s">
        <v>143</v>
      </c>
      <c r="JJW13" s="94" t="s">
        <v>143</v>
      </c>
      <c r="JLC13" s="94" t="s">
        <v>143</v>
      </c>
      <c r="JMI13" s="94" t="s">
        <v>143</v>
      </c>
      <c r="JNO13" s="94" t="s">
        <v>143</v>
      </c>
      <c r="JOU13" s="94" t="s">
        <v>143</v>
      </c>
      <c r="JQA13" s="94" t="s">
        <v>143</v>
      </c>
      <c r="JRG13" s="94" t="s">
        <v>143</v>
      </c>
      <c r="JSM13" s="94" t="s">
        <v>143</v>
      </c>
      <c r="JTS13" s="94" t="s">
        <v>143</v>
      </c>
      <c r="JUY13" s="94" t="s">
        <v>143</v>
      </c>
      <c r="JWE13" s="94" t="s">
        <v>143</v>
      </c>
      <c r="JXK13" s="94" t="s">
        <v>143</v>
      </c>
      <c r="JYQ13" s="94" t="s">
        <v>143</v>
      </c>
      <c r="JZW13" s="94" t="s">
        <v>143</v>
      </c>
      <c r="KBC13" s="94" t="s">
        <v>143</v>
      </c>
      <c r="KCI13" s="94" t="s">
        <v>143</v>
      </c>
      <c r="KDO13" s="94" t="s">
        <v>143</v>
      </c>
      <c r="KEU13" s="94" t="s">
        <v>143</v>
      </c>
      <c r="KGA13" s="94" t="s">
        <v>143</v>
      </c>
      <c r="KHG13" s="94" t="s">
        <v>143</v>
      </c>
      <c r="KIM13" s="94" t="s">
        <v>143</v>
      </c>
      <c r="KJS13" s="94" t="s">
        <v>143</v>
      </c>
      <c r="KKY13" s="94" t="s">
        <v>143</v>
      </c>
      <c r="KME13" s="94" t="s">
        <v>143</v>
      </c>
      <c r="KNK13" s="94" t="s">
        <v>143</v>
      </c>
      <c r="KOQ13" s="94" t="s">
        <v>143</v>
      </c>
      <c r="KPW13" s="94" t="s">
        <v>143</v>
      </c>
      <c r="KRC13" s="94" t="s">
        <v>143</v>
      </c>
      <c r="KSI13" s="94" t="s">
        <v>143</v>
      </c>
      <c r="KTO13" s="94" t="s">
        <v>143</v>
      </c>
      <c r="KUU13" s="94" t="s">
        <v>143</v>
      </c>
      <c r="KWA13" s="94" t="s">
        <v>143</v>
      </c>
      <c r="KXG13" s="94" t="s">
        <v>143</v>
      </c>
      <c r="KYM13" s="94" t="s">
        <v>143</v>
      </c>
      <c r="KZS13" s="94" t="s">
        <v>143</v>
      </c>
      <c r="LAY13" s="94" t="s">
        <v>143</v>
      </c>
      <c r="LCE13" s="94" t="s">
        <v>143</v>
      </c>
      <c r="LDK13" s="94" t="s">
        <v>143</v>
      </c>
      <c r="LEQ13" s="94" t="s">
        <v>143</v>
      </c>
      <c r="LFW13" s="94" t="s">
        <v>143</v>
      </c>
      <c r="LHC13" s="94" t="s">
        <v>143</v>
      </c>
      <c r="LII13" s="94" t="s">
        <v>143</v>
      </c>
      <c r="LJO13" s="94" t="s">
        <v>143</v>
      </c>
      <c r="LKU13" s="94" t="s">
        <v>143</v>
      </c>
      <c r="LMA13" s="94" t="s">
        <v>143</v>
      </c>
      <c r="LNG13" s="94" t="s">
        <v>143</v>
      </c>
      <c r="LOM13" s="94" t="s">
        <v>143</v>
      </c>
      <c r="LPS13" s="94" t="s">
        <v>143</v>
      </c>
      <c r="LQY13" s="94" t="s">
        <v>143</v>
      </c>
      <c r="LSE13" s="94" t="s">
        <v>143</v>
      </c>
      <c r="LTK13" s="94" t="s">
        <v>143</v>
      </c>
      <c r="LUQ13" s="94" t="s">
        <v>143</v>
      </c>
      <c r="LVW13" s="94" t="s">
        <v>143</v>
      </c>
      <c r="LXC13" s="94" t="s">
        <v>143</v>
      </c>
      <c r="LYI13" s="94" t="s">
        <v>143</v>
      </c>
      <c r="LZO13" s="94" t="s">
        <v>143</v>
      </c>
      <c r="MAU13" s="94" t="s">
        <v>143</v>
      </c>
      <c r="MCA13" s="94" t="s">
        <v>143</v>
      </c>
      <c r="MDG13" s="94" t="s">
        <v>143</v>
      </c>
      <c r="MEM13" s="94" t="s">
        <v>143</v>
      </c>
      <c r="MFS13" s="94" t="s">
        <v>143</v>
      </c>
      <c r="MGY13" s="94" t="s">
        <v>143</v>
      </c>
      <c r="MIE13" s="94" t="s">
        <v>143</v>
      </c>
      <c r="MJK13" s="94" t="s">
        <v>143</v>
      </c>
      <c r="MKQ13" s="94" t="s">
        <v>143</v>
      </c>
      <c r="MLW13" s="94" t="s">
        <v>143</v>
      </c>
      <c r="MNC13" s="94" t="s">
        <v>143</v>
      </c>
      <c r="MOI13" s="94" t="s">
        <v>143</v>
      </c>
      <c r="MPO13" s="94" t="s">
        <v>143</v>
      </c>
      <c r="MQU13" s="94" t="s">
        <v>143</v>
      </c>
      <c r="MSA13" s="94" t="s">
        <v>143</v>
      </c>
      <c r="MTG13" s="94" t="s">
        <v>143</v>
      </c>
      <c r="MUM13" s="94" t="s">
        <v>143</v>
      </c>
      <c r="MVS13" s="94" t="s">
        <v>143</v>
      </c>
      <c r="MWY13" s="94" t="s">
        <v>143</v>
      </c>
      <c r="MYE13" s="94" t="s">
        <v>143</v>
      </c>
      <c r="MZK13" s="94" t="s">
        <v>143</v>
      </c>
      <c r="NAQ13" s="94" t="s">
        <v>143</v>
      </c>
      <c r="NBW13" s="94" t="s">
        <v>143</v>
      </c>
      <c r="NDC13" s="94" t="s">
        <v>143</v>
      </c>
      <c r="NEI13" s="94" t="s">
        <v>143</v>
      </c>
      <c r="NFO13" s="94" t="s">
        <v>143</v>
      </c>
      <c r="NGU13" s="94" t="s">
        <v>143</v>
      </c>
      <c r="NIA13" s="94" t="s">
        <v>143</v>
      </c>
      <c r="NJG13" s="94" t="s">
        <v>143</v>
      </c>
      <c r="NKM13" s="94" t="s">
        <v>143</v>
      </c>
      <c r="NLS13" s="94" t="s">
        <v>143</v>
      </c>
      <c r="NMY13" s="94" t="s">
        <v>143</v>
      </c>
      <c r="NOE13" s="94" t="s">
        <v>143</v>
      </c>
      <c r="NPK13" s="94" t="s">
        <v>143</v>
      </c>
      <c r="NQQ13" s="94" t="s">
        <v>143</v>
      </c>
      <c r="NRW13" s="94" t="s">
        <v>143</v>
      </c>
      <c r="NTC13" s="94" t="s">
        <v>143</v>
      </c>
      <c r="NUI13" s="94" t="s">
        <v>143</v>
      </c>
      <c r="NVO13" s="94" t="s">
        <v>143</v>
      </c>
      <c r="NWU13" s="94" t="s">
        <v>143</v>
      </c>
      <c r="NYA13" s="94" t="s">
        <v>143</v>
      </c>
      <c r="NZG13" s="94" t="s">
        <v>143</v>
      </c>
      <c r="OAM13" s="94" t="s">
        <v>143</v>
      </c>
      <c r="OBS13" s="94" t="s">
        <v>143</v>
      </c>
      <c r="OCY13" s="94" t="s">
        <v>143</v>
      </c>
      <c r="OEE13" s="94" t="s">
        <v>143</v>
      </c>
      <c r="OFK13" s="94" t="s">
        <v>143</v>
      </c>
      <c r="OGQ13" s="94" t="s">
        <v>143</v>
      </c>
      <c r="OHW13" s="94" t="s">
        <v>143</v>
      </c>
      <c r="OJC13" s="94" t="s">
        <v>143</v>
      </c>
      <c r="OKI13" s="94" t="s">
        <v>143</v>
      </c>
      <c r="OLO13" s="94" t="s">
        <v>143</v>
      </c>
      <c r="OMU13" s="94" t="s">
        <v>143</v>
      </c>
      <c r="OOA13" s="94" t="s">
        <v>143</v>
      </c>
      <c r="OPG13" s="94" t="s">
        <v>143</v>
      </c>
      <c r="OQM13" s="94" t="s">
        <v>143</v>
      </c>
      <c r="ORS13" s="94" t="s">
        <v>143</v>
      </c>
      <c r="OSY13" s="94" t="s">
        <v>143</v>
      </c>
      <c r="OUE13" s="94" t="s">
        <v>143</v>
      </c>
      <c r="OVK13" s="94" t="s">
        <v>143</v>
      </c>
      <c r="OWQ13" s="94" t="s">
        <v>143</v>
      </c>
      <c r="OXW13" s="94" t="s">
        <v>143</v>
      </c>
      <c r="OZC13" s="94" t="s">
        <v>143</v>
      </c>
      <c r="PAI13" s="94" t="s">
        <v>143</v>
      </c>
      <c r="PBO13" s="94" t="s">
        <v>143</v>
      </c>
      <c r="PCU13" s="94" t="s">
        <v>143</v>
      </c>
      <c r="PEA13" s="94" t="s">
        <v>143</v>
      </c>
      <c r="PFG13" s="94" t="s">
        <v>143</v>
      </c>
      <c r="PGM13" s="94" t="s">
        <v>143</v>
      </c>
      <c r="PHS13" s="94" t="s">
        <v>143</v>
      </c>
      <c r="PIY13" s="94" t="s">
        <v>143</v>
      </c>
      <c r="PKE13" s="94" t="s">
        <v>143</v>
      </c>
      <c r="PLK13" s="94" t="s">
        <v>143</v>
      </c>
      <c r="PMQ13" s="94" t="s">
        <v>143</v>
      </c>
      <c r="PNW13" s="94" t="s">
        <v>143</v>
      </c>
      <c r="PPC13" s="94" t="s">
        <v>143</v>
      </c>
      <c r="PQI13" s="94" t="s">
        <v>143</v>
      </c>
      <c r="PRO13" s="94" t="s">
        <v>143</v>
      </c>
      <c r="PSU13" s="94" t="s">
        <v>143</v>
      </c>
      <c r="PUA13" s="94" t="s">
        <v>143</v>
      </c>
      <c r="PVG13" s="94" t="s">
        <v>143</v>
      </c>
      <c r="PWM13" s="94" t="s">
        <v>143</v>
      </c>
      <c r="PXS13" s="94" t="s">
        <v>143</v>
      </c>
      <c r="PYY13" s="94" t="s">
        <v>143</v>
      </c>
      <c r="QAE13" s="94" t="s">
        <v>143</v>
      </c>
      <c r="QBK13" s="94" t="s">
        <v>143</v>
      </c>
      <c r="QCQ13" s="94" t="s">
        <v>143</v>
      </c>
      <c r="QDW13" s="94" t="s">
        <v>143</v>
      </c>
      <c r="QFC13" s="94" t="s">
        <v>143</v>
      </c>
      <c r="QGI13" s="94" t="s">
        <v>143</v>
      </c>
      <c r="QHO13" s="94" t="s">
        <v>143</v>
      </c>
      <c r="QIU13" s="94" t="s">
        <v>143</v>
      </c>
      <c r="QKA13" s="94" t="s">
        <v>143</v>
      </c>
      <c r="QLG13" s="94" t="s">
        <v>143</v>
      </c>
      <c r="QMM13" s="94" t="s">
        <v>143</v>
      </c>
      <c r="QNS13" s="94" t="s">
        <v>143</v>
      </c>
      <c r="QOY13" s="94" t="s">
        <v>143</v>
      </c>
      <c r="QQE13" s="94" t="s">
        <v>143</v>
      </c>
      <c r="QRK13" s="94" t="s">
        <v>143</v>
      </c>
      <c r="QSQ13" s="94" t="s">
        <v>143</v>
      </c>
      <c r="QTW13" s="94" t="s">
        <v>143</v>
      </c>
      <c r="QVC13" s="94" t="s">
        <v>143</v>
      </c>
      <c r="QWI13" s="94" t="s">
        <v>143</v>
      </c>
      <c r="QXO13" s="94" t="s">
        <v>143</v>
      </c>
      <c r="QYU13" s="94" t="s">
        <v>143</v>
      </c>
      <c r="RAA13" s="94" t="s">
        <v>143</v>
      </c>
      <c r="RBG13" s="94" t="s">
        <v>143</v>
      </c>
      <c r="RCM13" s="94" t="s">
        <v>143</v>
      </c>
      <c r="RDS13" s="94" t="s">
        <v>143</v>
      </c>
      <c r="REY13" s="94" t="s">
        <v>143</v>
      </c>
      <c r="RGE13" s="94" t="s">
        <v>143</v>
      </c>
      <c r="RHK13" s="94" t="s">
        <v>143</v>
      </c>
      <c r="RIQ13" s="94" t="s">
        <v>143</v>
      </c>
      <c r="RJW13" s="94" t="s">
        <v>143</v>
      </c>
      <c r="RLC13" s="94" t="s">
        <v>143</v>
      </c>
      <c r="RMI13" s="94" t="s">
        <v>143</v>
      </c>
      <c r="RNO13" s="94" t="s">
        <v>143</v>
      </c>
      <c r="ROU13" s="94" t="s">
        <v>143</v>
      </c>
      <c r="RQA13" s="94" t="s">
        <v>143</v>
      </c>
      <c r="RRG13" s="94" t="s">
        <v>143</v>
      </c>
      <c r="RSM13" s="94" t="s">
        <v>143</v>
      </c>
      <c r="RTS13" s="94" t="s">
        <v>143</v>
      </c>
      <c r="RUY13" s="94" t="s">
        <v>143</v>
      </c>
      <c r="RWE13" s="94" t="s">
        <v>143</v>
      </c>
      <c r="RXK13" s="94" t="s">
        <v>143</v>
      </c>
      <c r="RYQ13" s="94" t="s">
        <v>143</v>
      </c>
      <c r="RZW13" s="94" t="s">
        <v>143</v>
      </c>
      <c r="SBC13" s="94" t="s">
        <v>143</v>
      </c>
      <c r="SCI13" s="94" t="s">
        <v>143</v>
      </c>
      <c r="SDO13" s="94" t="s">
        <v>143</v>
      </c>
      <c r="SEU13" s="94" t="s">
        <v>143</v>
      </c>
      <c r="SGA13" s="94" t="s">
        <v>143</v>
      </c>
      <c r="SHG13" s="94" t="s">
        <v>143</v>
      </c>
      <c r="SIM13" s="94" t="s">
        <v>143</v>
      </c>
      <c r="SJS13" s="94" t="s">
        <v>143</v>
      </c>
      <c r="SKY13" s="94" t="s">
        <v>143</v>
      </c>
      <c r="SME13" s="94" t="s">
        <v>143</v>
      </c>
      <c r="SNK13" s="94" t="s">
        <v>143</v>
      </c>
      <c r="SOQ13" s="94" t="s">
        <v>143</v>
      </c>
      <c r="SPW13" s="94" t="s">
        <v>143</v>
      </c>
      <c r="SRC13" s="94" t="s">
        <v>143</v>
      </c>
      <c r="SSI13" s="94" t="s">
        <v>143</v>
      </c>
      <c r="STO13" s="94" t="s">
        <v>143</v>
      </c>
      <c r="SUU13" s="94" t="s">
        <v>143</v>
      </c>
      <c r="SWA13" s="94" t="s">
        <v>143</v>
      </c>
      <c r="SXG13" s="94" t="s">
        <v>143</v>
      </c>
      <c r="SYM13" s="94" t="s">
        <v>143</v>
      </c>
      <c r="SZS13" s="94" t="s">
        <v>143</v>
      </c>
      <c r="TAY13" s="94" t="s">
        <v>143</v>
      </c>
      <c r="TCE13" s="94" t="s">
        <v>143</v>
      </c>
      <c r="TDK13" s="94" t="s">
        <v>143</v>
      </c>
      <c r="TEQ13" s="94" t="s">
        <v>143</v>
      </c>
      <c r="TFW13" s="94" t="s">
        <v>143</v>
      </c>
      <c r="THC13" s="94" t="s">
        <v>143</v>
      </c>
      <c r="TII13" s="94" t="s">
        <v>143</v>
      </c>
      <c r="TJO13" s="94" t="s">
        <v>143</v>
      </c>
      <c r="TKU13" s="94" t="s">
        <v>143</v>
      </c>
      <c r="TMA13" s="94" t="s">
        <v>143</v>
      </c>
      <c r="TNG13" s="94" t="s">
        <v>143</v>
      </c>
      <c r="TOM13" s="94" t="s">
        <v>143</v>
      </c>
      <c r="TPS13" s="94" t="s">
        <v>143</v>
      </c>
      <c r="TQY13" s="94" t="s">
        <v>143</v>
      </c>
      <c r="TSE13" s="94" t="s">
        <v>143</v>
      </c>
      <c r="TTK13" s="94" t="s">
        <v>143</v>
      </c>
      <c r="TUQ13" s="94" t="s">
        <v>143</v>
      </c>
      <c r="TVW13" s="94" t="s">
        <v>143</v>
      </c>
      <c r="TXC13" s="94" t="s">
        <v>143</v>
      </c>
      <c r="TYI13" s="94" t="s">
        <v>143</v>
      </c>
      <c r="TZO13" s="94" t="s">
        <v>143</v>
      </c>
      <c r="UAU13" s="94" t="s">
        <v>143</v>
      </c>
      <c r="UCA13" s="94" t="s">
        <v>143</v>
      </c>
      <c r="UDG13" s="94" t="s">
        <v>143</v>
      </c>
      <c r="UEM13" s="94" t="s">
        <v>143</v>
      </c>
      <c r="UFS13" s="94" t="s">
        <v>143</v>
      </c>
      <c r="UGY13" s="94" t="s">
        <v>143</v>
      </c>
      <c r="UIE13" s="94" t="s">
        <v>143</v>
      </c>
      <c r="UJK13" s="94" t="s">
        <v>143</v>
      </c>
      <c r="UKQ13" s="94" t="s">
        <v>143</v>
      </c>
      <c r="ULW13" s="94" t="s">
        <v>143</v>
      </c>
      <c r="UNC13" s="94" t="s">
        <v>143</v>
      </c>
      <c r="UOI13" s="94" t="s">
        <v>143</v>
      </c>
      <c r="UPO13" s="94" t="s">
        <v>143</v>
      </c>
      <c r="UQU13" s="94" t="s">
        <v>143</v>
      </c>
      <c r="USA13" s="94" t="s">
        <v>143</v>
      </c>
      <c r="UTG13" s="94" t="s">
        <v>143</v>
      </c>
      <c r="UUM13" s="94" t="s">
        <v>143</v>
      </c>
      <c r="UVS13" s="94" t="s">
        <v>143</v>
      </c>
      <c r="UWY13" s="94" t="s">
        <v>143</v>
      </c>
      <c r="UYE13" s="94" t="s">
        <v>143</v>
      </c>
      <c r="UZK13" s="94" t="s">
        <v>143</v>
      </c>
      <c r="VAQ13" s="94" t="s">
        <v>143</v>
      </c>
      <c r="VBW13" s="94" t="s">
        <v>143</v>
      </c>
      <c r="VDC13" s="94" t="s">
        <v>143</v>
      </c>
      <c r="VEI13" s="94" t="s">
        <v>143</v>
      </c>
      <c r="VFO13" s="94" t="s">
        <v>143</v>
      </c>
      <c r="VGU13" s="94" t="s">
        <v>143</v>
      </c>
      <c r="VIA13" s="94" t="s">
        <v>143</v>
      </c>
      <c r="VJG13" s="94" t="s">
        <v>143</v>
      </c>
      <c r="VKM13" s="94" t="s">
        <v>143</v>
      </c>
      <c r="VLS13" s="94" t="s">
        <v>143</v>
      </c>
      <c r="VMY13" s="94" t="s">
        <v>143</v>
      </c>
      <c r="VOE13" s="94" t="s">
        <v>143</v>
      </c>
      <c r="VPK13" s="94" t="s">
        <v>143</v>
      </c>
      <c r="VQQ13" s="94" t="s">
        <v>143</v>
      </c>
      <c r="VRW13" s="94" t="s">
        <v>143</v>
      </c>
      <c r="VTC13" s="94" t="s">
        <v>143</v>
      </c>
      <c r="VUI13" s="94" t="s">
        <v>143</v>
      </c>
      <c r="VVO13" s="94" t="s">
        <v>143</v>
      </c>
      <c r="VWU13" s="94" t="s">
        <v>143</v>
      </c>
      <c r="VYA13" s="94" t="s">
        <v>143</v>
      </c>
      <c r="VZG13" s="94" t="s">
        <v>143</v>
      </c>
      <c r="WAM13" s="94" t="s">
        <v>143</v>
      </c>
      <c r="WBS13" s="94" t="s">
        <v>143</v>
      </c>
      <c r="WCY13" s="94" t="s">
        <v>143</v>
      </c>
      <c r="WEE13" s="94" t="s">
        <v>143</v>
      </c>
      <c r="WFK13" s="94" t="s">
        <v>143</v>
      </c>
      <c r="WGQ13" s="94" t="s">
        <v>143</v>
      </c>
      <c r="WHW13" s="94" t="s">
        <v>143</v>
      </c>
      <c r="WJC13" s="94" t="s">
        <v>143</v>
      </c>
      <c r="WKI13" s="94" t="s">
        <v>143</v>
      </c>
      <c r="WLO13" s="94" t="s">
        <v>143</v>
      </c>
      <c r="WMU13" s="94" t="s">
        <v>143</v>
      </c>
      <c r="WOA13" s="94" t="s">
        <v>143</v>
      </c>
      <c r="WPG13" s="94" t="s">
        <v>143</v>
      </c>
      <c r="WQM13" s="94" t="s">
        <v>143</v>
      </c>
      <c r="WRS13" s="94" t="s">
        <v>143</v>
      </c>
      <c r="WSY13" s="94" t="s">
        <v>143</v>
      </c>
      <c r="WUE13" s="94" t="s">
        <v>143</v>
      </c>
      <c r="WVK13" s="94" t="s">
        <v>143</v>
      </c>
      <c r="WWQ13" s="94" t="s">
        <v>143</v>
      </c>
      <c r="WXW13" s="94" t="s">
        <v>143</v>
      </c>
      <c r="WZC13" s="94" t="s">
        <v>143</v>
      </c>
      <c r="XAI13" s="94" t="s">
        <v>143</v>
      </c>
      <c r="XBO13" s="94" t="s">
        <v>143</v>
      </c>
      <c r="XCU13" s="94" t="s">
        <v>143</v>
      </c>
      <c r="XEA13" s="94" t="s">
        <v>143</v>
      </c>
    </row>
    <row r="14" spans="2:1007 1026:2031 2050:3055 3074:4079 4098:5103 5122:6127 6146:7151 7170:8175 8194:9199 9218:10223 10242:11247 11266:12271 12290:13295 13314:14319 14338:15343 15362:16367" s="94" customFormat="1">
      <c r="C14" s="94" t="s">
        <v>144</v>
      </c>
      <c r="AI14" s="94" t="s">
        <v>144</v>
      </c>
      <c r="BO14" s="94" t="s">
        <v>144</v>
      </c>
      <c r="CU14" s="94" t="s">
        <v>144</v>
      </c>
      <c r="EA14" s="94" t="s">
        <v>144</v>
      </c>
      <c r="FG14" s="94" t="s">
        <v>144</v>
      </c>
      <c r="GM14" s="94" t="s">
        <v>144</v>
      </c>
      <c r="HS14" s="94" t="s">
        <v>144</v>
      </c>
      <c r="IY14" s="94" t="s">
        <v>144</v>
      </c>
      <c r="KE14" s="94" t="s">
        <v>144</v>
      </c>
      <c r="LK14" s="94" t="s">
        <v>144</v>
      </c>
      <c r="MQ14" s="94" t="s">
        <v>144</v>
      </c>
      <c r="NW14" s="94" t="s">
        <v>144</v>
      </c>
      <c r="PC14" s="94" t="s">
        <v>144</v>
      </c>
      <c r="QI14" s="94" t="s">
        <v>144</v>
      </c>
      <c r="RO14" s="94" t="s">
        <v>144</v>
      </c>
      <c r="SU14" s="94" t="s">
        <v>144</v>
      </c>
      <c r="UA14" s="94" t="s">
        <v>144</v>
      </c>
      <c r="VG14" s="94" t="s">
        <v>144</v>
      </c>
      <c r="WM14" s="94" t="s">
        <v>144</v>
      </c>
      <c r="XS14" s="94" t="s">
        <v>144</v>
      </c>
      <c r="YY14" s="94" t="s">
        <v>144</v>
      </c>
      <c r="AAE14" s="94" t="s">
        <v>144</v>
      </c>
      <c r="ABK14" s="94" t="s">
        <v>144</v>
      </c>
      <c r="ACQ14" s="94" t="s">
        <v>144</v>
      </c>
      <c r="ADW14" s="94" t="s">
        <v>144</v>
      </c>
      <c r="AFC14" s="94" t="s">
        <v>144</v>
      </c>
      <c r="AGI14" s="94" t="s">
        <v>144</v>
      </c>
      <c r="AHO14" s="94" t="s">
        <v>144</v>
      </c>
      <c r="AIU14" s="94" t="s">
        <v>144</v>
      </c>
      <c r="AKA14" s="94" t="s">
        <v>144</v>
      </c>
      <c r="ALG14" s="94" t="s">
        <v>144</v>
      </c>
      <c r="AMM14" s="94" t="s">
        <v>144</v>
      </c>
      <c r="ANS14" s="94" t="s">
        <v>144</v>
      </c>
      <c r="AOY14" s="94" t="s">
        <v>144</v>
      </c>
      <c r="AQE14" s="94" t="s">
        <v>144</v>
      </c>
      <c r="ARK14" s="94" t="s">
        <v>144</v>
      </c>
      <c r="ASQ14" s="94" t="s">
        <v>144</v>
      </c>
      <c r="ATW14" s="94" t="s">
        <v>144</v>
      </c>
      <c r="AVC14" s="94" t="s">
        <v>144</v>
      </c>
      <c r="AWI14" s="94" t="s">
        <v>144</v>
      </c>
      <c r="AXO14" s="94" t="s">
        <v>144</v>
      </c>
      <c r="AYU14" s="94" t="s">
        <v>144</v>
      </c>
      <c r="BAA14" s="94" t="s">
        <v>144</v>
      </c>
      <c r="BBG14" s="94" t="s">
        <v>144</v>
      </c>
      <c r="BCM14" s="94" t="s">
        <v>144</v>
      </c>
      <c r="BDS14" s="94" t="s">
        <v>144</v>
      </c>
      <c r="BEY14" s="94" t="s">
        <v>144</v>
      </c>
      <c r="BGE14" s="94" t="s">
        <v>144</v>
      </c>
      <c r="BHK14" s="94" t="s">
        <v>144</v>
      </c>
      <c r="BIQ14" s="94" t="s">
        <v>144</v>
      </c>
      <c r="BJW14" s="94" t="s">
        <v>144</v>
      </c>
      <c r="BLC14" s="94" t="s">
        <v>144</v>
      </c>
      <c r="BMI14" s="94" t="s">
        <v>144</v>
      </c>
      <c r="BNO14" s="94" t="s">
        <v>144</v>
      </c>
      <c r="BOU14" s="94" t="s">
        <v>144</v>
      </c>
      <c r="BQA14" s="94" t="s">
        <v>144</v>
      </c>
      <c r="BRG14" s="94" t="s">
        <v>144</v>
      </c>
      <c r="BSM14" s="94" t="s">
        <v>144</v>
      </c>
      <c r="BTS14" s="94" t="s">
        <v>144</v>
      </c>
      <c r="BUY14" s="94" t="s">
        <v>144</v>
      </c>
      <c r="BWE14" s="94" t="s">
        <v>144</v>
      </c>
      <c r="BXK14" s="94" t="s">
        <v>144</v>
      </c>
      <c r="BYQ14" s="94" t="s">
        <v>144</v>
      </c>
      <c r="BZW14" s="94" t="s">
        <v>144</v>
      </c>
      <c r="CBC14" s="94" t="s">
        <v>144</v>
      </c>
      <c r="CCI14" s="94" t="s">
        <v>144</v>
      </c>
      <c r="CDO14" s="94" t="s">
        <v>144</v>
      </c>
      <c r="CEU14" s="94" t="s">
        <v>144</v>
      </c>
      <c r="CGA14" s="94" t="s">
        <v>144</v>
      </c>
      <c r="CHG14" s="94" t="s">
        <v>144</v>
      </c>
      <c r="CIM14" s="94" t="s">
        <v>144</v>
      </c>
      <c r="CJS14" s="94" t="s">
        <v>144</v>
      </c>
      <c r="CKY14" s="94" t="s">
        <v>144</v>
      </c>
      <c r="CME14" s="94" t="s">
        <v>144</v>
      </c>
      <c r="CNK14" s="94" t="s">
        <v>144</v>
      </c>
      <c r="COQ14" s="94" t="s">
        <v>144</v>
      </c>
      <c r="CPW14" s="94" t="s">
        <v>144</v>
      </c>
      <c r="CRC14" s="94" t="s">
        <v>144</v>
      </c>
      <c r="CSI14" s="94" t="s">
        <v>144</v>
      </c>
      <c r="CTO14" s="94" t="s">
        <v>144</v>
      </c>
      <c r="CUU14" s="94" t="s">
        <v>144</v>
      </c>
      <c r="CWA14" s="94" t="s">
        <v>144</v>
      </c>
      <c r="CXG14" s="94" t="s">
        <v>144</v>
      </c>
      <c r="CYM14" s="94" t="s">
        <v>144</v>
      </c>
      <c r="CZS14" s="94" t="s">
        <v>144</v>
      </c>
      <c r="DAY14" s="94" t="s">
        <v>144</v>
      </c>
      <c r="DCE14" s="94" t="s">
        <v>144</v>
      </c>
      <c r="DDK14" s="94" t="s">
        <v>144</v>
      </c>
      <c r="DEQ14" s="94" t="s">
        <v>144</v>
      </c>
      <c r="DFW14" s="94" t="s">
        <v>144</v>
      </c>
      <c r="DHC14" s="94" t="s">
        <v>144</v>
      </c>
      <c r="DII14" s="94" t="s">
        <v>144</v>
      </c>
      <c r="DJO14" s="94" t="s">
        <v>144</v>
      </c>
      <c r="DKU14" s="94" t="s">
        <v>144</v>
      </c>
      <c r="DMA14" s="94" t="s">
        <v>144</v>
      </c>
      <c r="DNG14" s="94" t="s">
        <v>144</v>
      </c>
      <c r="DOM14" s="94" t="s">
        <v>144</v>
      </c>
      <c r="DPS14" s="94" t="s">
        <v>144</v>
      </c>
      <c r="DQY14" s="94" t="s">
        <v>144</v>
      </c>
      <c r="DSE14" s="94" t="s">
        <v>144</v>
      </c>
      <c r="DTK14" s="94" t="s">
        <v>144</v>
      </c>
      <c r="DUQ14" s="94" t="s">
        <v>144</v>
      </c>
      <c r="DVW14" s="94" t="s">
        <v>144</v>
      </c>
      <c r="DXC14" s="94" t="s">
        <v>144</v>
      </c>
      <c r="DYI14" s="94" t="s">
        <v>144</v>
      </c>
      <c r="DZO14" s="94" t="s">
        <v>144</v>
      </c>
      <c r="EAU14" s="94" t="s">
        <v>144</v>
      </c>
      <c r="ECA14" s="94" t="s">
        <v>144</v>
      </c>
      <c r="EDG14" s="94" t="s">
        <v>144</v>
      </c>
      <c r="EEM14" s="94" t="s">
        <v>144</v>
      </c>
      <c r="EFS14" s="94" t="s">
        <v>144</v>
      </c>
      <c r="EGY14" s="94" t="s">
        <v>144</v>
      </c>
      <c r="EIE14" s="94" t="s">
        <v>144</v>
      </c>
      <c r="EJK14" s="94" t="s">
        <v>144</v>
      </c>
      <c r="EKQ14" s="94" t="s">
        <v>144</v>
      </c>
      <c r="ELW14" s="94" t="s">
        <v>144</v>
      </c>
      <c r="ENC14" s="94" t="s">
        <v>144</v>
      </c>
      <c r="EOI14" s="94" t="s">
        <v>144</v>
      </c>
      <c r="EPO14" s="94" t="s">
        <v>144</v>
      </c>
      <c r="EQU14" s="94" t="s">
        <v>144</v>
      </c>
      <c r="ESA14" s="94" t="s">
        <v>144</v>
      </c>
      <c r="ETG14" s="94" t="s">
        <v>144</v>
      </c>
      <c r="EUM14" s="94" t="s">
        <v>144</v>
      </c>
      <c r="EVS14" s="94" t="s">
        <v>144</v>
      </c>
      <c r="EWY14" s="94" t="s">
        <v>144</v>
      </c>
      <c r="EYE14" s="94" t="s">
        <v>144</v>
      </c>
      <c r="EZK14" s="94" t="s">
        <v>144</v>
      </c>
      <c r="FAQ14" s="94" t="s">
        <v>144</v>
      </c>
      <c r="FBW14" s="94" t="s">
        <v>144</v>
      </c>
      <c r="FDC14" s="94" t="s">
        <v>144</v>
      </c>
      <c r="FEI14" s="94" t="s">
        <v>144</v>
      </c>
      <c r="FFO14" s="94" t="s">
        <v>144</v>
      </c>
      <c r="FGU14" s="94" t="s">
        <v>144</v>
      </c>
      <c r="FIA14" s="94" t="s">
        <v>144</v>
      </c>
      <c r="FJG14" s="94" t="s">
        <v>144</v>
      </c>
      <c r="FKM14" s="94" t="s">
        <v>144</v>
      </c>
      <c r="FLS14" s="94" t="s">
        <v>144</v>
      </c>
      <c r="FMY14" s="94" t="s">
        <v>144</v>
      </c>
      <c r="FOE14" s="94" t="s">
        <v>144</v>
      </c>
      <c r="FPK14" s="94" t="s">
        <v>144</v>
      </c>
      <c r="FQQ14" s="94" t="s">
        <v>144</v>
      </c>
      <c r="FRW14" s="94" t="s">
        <v>144</v>
      </c>
      <c r="FTC14" s="94" t="s">
        <v>144</v>
      </c>
      <c r="FUI14" s="94" t="s">
        <v>144</v>
      </c>
      <c r="FVO14" s="94" t="s">
        <v>144</v>
      </c>
      <c r="FWU14" s="94" t="s">
        <v>144</v>
      </c>
      <c r="FYA14" s="94" t="s">
        <v>144</v>
      </c>
      <c r="FZG14" s="94" t="s">
        <v>144</v>
      </c>
      <c r="GAM14" s="94" t="s">
        <v>144</v>
      </c>
      <c r="GBS14" s="94" t="s">
        <v>144</v>
      </c>
      <c r="GCY14" s="94" t="s">
        <v>144</v>
      </c>
      <c r="GEE14" s="94" t="s">
        <v>144</v>
      </c>
      <c r="GFK14" s="94" t="s">
        <v>144</v>
      </c>
      <c r="GGQ14" s="94" t="s">
        <v>144</v>
      </c>
      <c r="GHW14" s="94" t="s">
        <v>144</v>
      </c>
      <c r="GJC14" s="94" t="s">
        <v>144</v>
      </c>
      <c r="GKI14" s="94" t="s">
        <v>144</v>
      </c>
      <c r="GLO14" s="94" t="s">
        <v>144</v>
      </c>
      <c r="GMU14" s="94" t="s">
        <v>144</v>
      </c>
      <c r="GOA14" s="94" t="s">
        <v>144</v>
      </c>
      <c r="GPG14" s="94" t="s">
        <v>144</v>
      </c>
      <c r="GQM14" s="94" t="s">
        <v>144</v>
      </c>
      <c r="GRS14" s="94" t="s">
        <v>144</v>
      </c>
      <c r="GSY14" s="94" t="s">
        <v>144</v>
      </c>
      <c r="GUE14" s="94" t="s">
        <v>144</v>
      </c>
      <c r="GVK14" s="94" t="s">
        <v>144</v>
      </c>
      <c r="GWQ14" s="94" t="s">
        <v>144</v>
      </c>
      <c r="GXW14" s="94" t="s">
        <v>144</v>
      </c>
      <c r="GZC14" s="94" t="s">
        <v>144</v>
      </c>
      <c r="HAI14" s="94" t="s">
        <v>144</v>
      </c>
      <c r="HBO14" s="94" t="s">
        <v>144</v>
      </c>
      <c r="HCU14" s="94" t="s">
        <v>144</v>
      </c>
      <c r="HEA14" s="94" t="s">
        <v>144</v>
      </c>
      <c r="HFG14" s="94" t="s">
        <v>144</v>
      </c>
      <c r="HGM14" s="94" t="s">
        <v>144</v>
      </c>
      <c r="HHS14" s="94" t="s">
        <v>144</v>
      </c>
      <c r="HIY14" s="94" t="s">
        <v>144</v>
      </c>
      <c r="HKE14" s="94" t="s">
        <v>144</v>
      </c>
      <c r="HLK14" s="94" t="s">
        <v>144</v>
      </c>
      <c r="HMQ14" s="94" t="s">
        <v>144</v>
      </c>
      <c r="HNW14" s="94" t="s">
        <v>144</v>
      </c>
      <c r="HPC14" s="94" t="s">
        <v>144</v>
      </c>
      <c r="HQI14" s="94" t="s">
        <v>144</v>
      </c>
      <c r="HRO14" s="94" t="s">
        <v>144</v>
      </c>
      <c r="HSU14" s="94" t="s">
        <v>144</v>
      </c>
      <c r="HUA14" s="94" t="s">
        <v>144</v>
      </c>
      <c r="HVG14" s="94" t="s">
        <v>144</v>
      </c>
      <c r="HWM14" s="94" t="s">
        <v>144</v>
      </c>
      <c r="HXS14" s="94" t="s">
        <v>144</v>
      </c>
      <c r="HYY14" s="94" t="s">
        <v>144</v>
      </c>
      <c r="IAE14" s="94" t="s">
        <v>144</v>
      </c>
      <c r="IBK14" s="94" t="s">
        <v>144</v>
      </c>
      <c r="ICQ14" s="94" t="s">
        <v>144</v>
      </c>
      <c r="IDW14" s="94" t="s">
        <v>144</v>
      </c>
      <c r="IFC14" s="94" t="s">
        <v>144</v>
      </c>
      <c r="IGI14" s="94" t="s">
        <v>144</v>
      </c>
      <c r="IHO14" s="94" t="s">
        <v>144</v>
      </c>
      <c r="IIU14" s="94" t="s">
        <v>144</v>
      </c>
      <c r="IKA14" s="94" t="s">
        <v>144</v>
      </c>
      <c r="ILG14" s="94" t="s">
        <v>144</v>
      </c>
      <c r="IMM14" s="94" t="s">
        <v>144</v>
      </c>
      <c r="INS14" s="94" t="s">
        <v>144</v>
      </c>
      <c r="IOY14" s="94" t="s">
        <v>144</v>
      </c>
      <c r="IQE14" s="94" t="s">
        <v>144</v>
      </c>
      <c r="IRK14" s="94" t="s">
        <v>144</v>
      </c>
      <c r="ISQ14" s="94" t="s">
        <v>144</v>
      </c>
      <c r="ITW14" s="94" t="s">
        <v>144</v>
      </c>
      <c r="IVC14" s="94" t="s">
        <v>144</v>
      </c>
      <c r="IWI14" s="94" t="s">
        <v>144</v>
      </c>
      <c r="IXO14" s="94" t="s">
        <v>144</v>
      </c>
      <c r="IYU14" s="94" t="s">
        <v>144</v>
      </c>
      <c r="JAA14" s="94" t="s">
        <v>144</v>
      </c>
      <c r="JBG14" s="94" t="s">
        <v>144</v>
      </c>
      <c r="JCM14" s="94" t="s">
        <v>144</v>
      </c>
      <c r="JDS14" s="94" t="s">
        <v>144</v>
      </c>
      <c r="JEY14" s="94" t="s">
        <v>144</v>
      </c>
      <c r="JGE14" s="94" t="s">
        <v>144</v>
      </c>
      <c r="JHK14" s="94" t="s">
        <v>144</v>
      </c>
      <c r="JIQ14" s="94" t="s">
        <v>144</v>
      </c>
      <c r="JJW14" s="94" t="s">
        <v>144</v>
      </c>
      <c r="JLC14" s="94" t="s">
        <v>144</v>
      </c>
      <c r="JMI14" s="94" t="s">
        <v>144</v>
      </c>
      <c r="JNO14" s="94" t="s">
        <v>144</v>
      </c>
      <c r="JOU14" s="94" t="s">
        <v>144</v>
      </c>
      <c r="JQA14" s="94" t="s">
        <v>144</v>
      </c>
      <c r="JRG14" s="94" t="s">
        <v>144</v>
      </c>
      <c r="JSM14" s="94" t="s">
        <v>144</v>
      </c>
      <c r="JTS14" s="94" t="s">
        <v>144</v>
      </c>
      <c r="JUY14" s="94" t="s">
        <v>144</v>
      </c>
      <c r="JWE14" s="94" t="s">
        <v>144</v>
      </c>
      <c r="JXK14" s="94" t="s">
        <v>144</v>
      </c>
      <c r="JYQ14" s="94" t="s">
        <v>144</v>
      </c>
      <c r="JZW14" s="94" t="s">
        <v>144</v>
      </c>
      <c r="KBC14" s="94" t="s">
        <v>144</v>
      </c>
      <c r="KCI14" s="94" t="s">
        <v>144</v>
      </c>
      <c r="KDO14" s="94" t="s">
        <v>144</v>
      </c>
      <c r="KEU14" s="94" t="s">
        <v>144</v>
      </c>
      <c r="KGA14" s="94" t="s">
        <v>144</v>
      </c>
      <c r="KHG14" s="94" t="s">
        <v>144</v>
      </c>
      <c r="KIM14" s="94" t="s">
        <v>144</v>
      </c>
      <c r="KJS14" s="94" t="s">
        <v>144</v>
      </c>
      <c r="KKY14" s="94" t="s">
        <v>144</v>
      </c>
      <c r="KME14" s="94" t="s">
        <v>144</v>
      </c>
      <c r="KNK14" s="94" t="s">
        <v>144</v>
      </c>
      <c r="KOQ14" s="94" t="s">
        <v>144</v>
      </c>
      <c r="KPW14" s="94" t="s">
        <v>144</v>
      </c>
      <c r="KRC14" s="94" t="s">
        <v>144</v>
      </c>
      <c r="KSI14" s="94" t="s">
        <v>144</v>
      </c>
      <c r="KTO14" s="94" t="s">
        <v>144</v>
      </c>
      <c r="KUU14" s="94" t="s">
        <v>144</v>
      </c>
      <c r="KWA14" s="94" t="s">
        <v>144</v>
      </c>
      <c r="KXG14" s="94" t="s">
        <v>144</v>
      </c>
      <c r="KYM14" s="94" t="s">
        <v>144</v>
      </c>
      <c r="KZS14" s="94" t="s">
        <v>144</v>
      </c>
      <c r="LAY14" s="94" t="s">
        <v>144</v>
      </c>
      <c r="LCE14" s="94" t="s">
        <v>144</v>
      </c>
      <c r="LDK14" s="94" t="s">
        <v>144</v>
      </c>
      <c r="LEQ14" s="94" t="s">
        <v>144</v>
      </c>
      <c r="LFW14" s="94" t="s">
        <v>144</v>
      </c>
      <c r="LHC14" s="94" t="s">
        <v>144</v>
      </c>
      <c r="LII14" s="94" t="s">
        <v>144</v>
      </c>
      <c r="LJO14" s="94" t="s">
        <v>144</v>
      </c>
      <c r="LKU14" s="94" t="s">
        <v>144</v>
      </c>
      <c r="LMA14" s="94" t="s">
        <v>144</v>
      </c>
      <c r="LNG14" s="94" t="s">
        <v>144</v>
      </c>
      <c r="LOM14" s="94" t="s">
        <v>144</v>
      </c>
      <c r="LPS14" s="94" t="s">
        <v>144</v>
      </c>
      <c r="LQY14" s="94" t="s">
        <v>144</v>
      </c>
      <c r="LSE14" s="94" t="s">
        <v>144</v>
      </c>
      <c r="LTK14" s="94" t="s">
        <v>144</v>
      </c>
      <c r="LUQ14" s="94" t="s">
        <v>144</v>
      </c>
      <c r="LVW14" s="94" t="s">
        <v>144</v>
      </c>
      <c r="LXC14" s="94" t="s">
        <v>144</v>
      </c>
      <c r="LYI14" s="94" t="s">
        <v>144</v>
      </c>
      <c r="LZO14" s="94" t="s">
        <v>144</v>
      </c>
      <c r="MAU14" s="94" t="s">
        <v>144</v>
      </c>
      <c r="MCA14" s="94" t="s">
        <v>144</v>
      </c>
      <c r="MDG14" s="94" t="s">
        <v>144</v>
      </c>
      <c r="MEM14" s="94" t="s">
        <v>144</v>
      </c>
      <c r="MFS14" s="94" t="s">
        <v>144</v>
      </c>
      <c r="MGY14" s="94" t="s">
        <v>144</v>
      </c>
      <c r="MIE14" s="94" t="s">
        <v>144</v>
      </c>
      <c r="MJK14" s="94" t="s">
        <v>144</v>
      </c>
      <c r="MKQ14" s="94" t="s">
        <v>144</v>
      </c>
      <c r="MLW14" s="94" t="s">
        <v>144</v>
      </c>
      <c r="MNC14" s="94" t="s">
        <v>144</v>
      </c>
      <c r="MOI14" s="94" t="s">
        <v>144</v>
      </c>
      <c r="MPO14" s="94" t="s">
        <v>144</v>
      </c>
      <c r="MQU14" s="94" t="s">
        <v>144</v>
      </c>
      <c r="MSA14" s="94" t="s">
        <v>144</v>
      </c>
      <c r="MTG14" s="94" t="s">
        <v>144</v>
      </c>
      <c r="MUM14" s="94" t="s">
        <v>144</v>
      </c>
      <c r="MVS14" s="94" t="s">
        <v>144</v>
      </c>
      <c r="MWY14" s="94" t="s">
        <v>144</v>
      </c>
      <c r="MYE14" s="94" t="s">
        <v>144</v>
      </c>
      <c r="MZK14" s="94" t="s">
        <v>144</v>
      </c>
      <c r="NAQ14" s="94" t="s">
        <v>144</v>
      </c>
      <c r="NBW14" s="94" t="s">
        <v>144</v>
      </c>
      <c r="NDC14" s="94" t="s">
        <v>144</v>
      </c>
      <c r="NEI14" s="94" t="s">
        <v>144</v>
      </c>
      <c r="NFO14" s="94" t="s">
        <v>144</v>
      </c>
      <c r="NGU14" s="94" t="s">
        <v>144</v>
      </c>
      <c r="NIA14" s="94" t="s">
        <v>144</v>
      </c>
      <c r="NJG14" s="94" t="s">
        <v>144</v>
      </c>
      <c r="NKM14" s="94" t="s">
        <v>144</v>
      </c>
      <c r="NLS14" s="94" t="s">
        <v>144</v>
      </c>
      <c r="NMY14" s="94" t="s">
        <v>144</v>
      </c>
      <c r="NOE14" s="94" t="s">
        <v>144</v>
      </c>
      <c r="NPK14" s="94" t="s">
        <v>144</v>
      </c>
      <c r="NQQ14" s="94" t="s">
        <v>144</v>
      </c>
      <c r="NRW14" s="94" t="s">
        <v>144</v>
      </c>
      <c r="NTC14" s="94" t="s">
        <v>144</v>
      </c>
      <c r="NUI14" s="94" t="s">
        <v>144</v>
      </c>
      <c r="NVO14" s="94" t="s">
        <v>144</v>
      </c>
      <c r="NWU14" s="94" t="s">
        <v>144</v>
      </c>
      <c r="NYA14" s="94" t="s">
        <v>144</v>
      </c>
      <c r="NZG14" s="94" t="s">
        <v>144</v>
      </c>
      <c r="OAM14" s="94" t="s">
        <v>144</v>
      </c>
      <c r="OBS14" s="94" t="s">
        <v>144</v>
      </c>
      <c r="OCY14" s="94" t="s">
        <v>144</v>
      </c>
      <c r="OEE14" s="94" t="s">
        <v>144</v>
      </c>
      <c r="OFK14" s="94" t="s">
        <v>144</v>
      </c>
      <c r="OGQ14" s="94" t="s">
        <v>144</v>
      </c>
      <c r="OHW14" s="94" t="s">
        <v>144</v>
      </c>
      <c r="OJC14" s="94" t="s">
        <v>144</v>
      </c>
      <c r="OKI14" s="94" t="s">
        <v>144</v>
      </c>
      <c r="OLO14" s="94" t="s">
        <v>144</v>
      </c>
      <c r="OMU14" s="94" t="s">
        <v>144</v>
      </c>
      <c r="OOA14" s="94" t="s">
        <v>144</v>
      </c>
      <c r="OPG14" s="94" t="s">
        <v>144</v>
      </c>
      <c r="OQM14" s="94" t="s">
        <v>144</v>
      </c>
      <c r="ORS14" s="94" t="s">
        <v>144</v>
      </c>
      <c r="OSY14" s="94" t="s">
        <v>144</v>
      </c>
      <c r="OUE14" s="94" t="s">
        <v>144</v>
      </c>
      <c r="OVK14" s="94" t="s">
        <v>144</v>
      </c>
      <c r="OWQ14" s="94" t="s">
        <v>144</v>
      </c>
      <c r="OXW14" s="94" t="s">
        <v>144</v>
      </c>
      <c r="OZC14" s="94" t="s">
        <v>144</v>
      </c>
      <c r="PAI14" s="94" t="s">
        <v>144</v>
      </c>
      <c r="PBO14" s="94" t="s">
        <v>144</v>
      </c>
      <c r="PCU14" s="94" t="s">
        <v>144</v>
      </c>
      <c r="PEA14" s="94" t="s">
        <v>144</v>
      </c>
      <c r="PFG14" s="94" t="s">
        <v>144</v>
      </c>
      <c r="PGM14" s="94" t="s">
        <v>144</v>
      </c>
      <c r="PHS14" s="94" t="s">
        <v>144</v>
      </c>
      <c r="PIY14" s="94" t="s">
        <v>144</v>
      </c>
      <c r="PKE14" s="94" t="s">
        <v>144</v>
      </c>
      <c r="PLK14" s="94" t="s">
        <v>144</v>
      </c>
      <c r="PMQ14" s="94" t="s">
        <v>144</v>
      </c>
      <c r="PNW14" s="94" t="s">
        <v>144</v>
      </c>
      <c r="PPC14" s="94" t="s">
        <v>144</v>
      </c>
      <c r="PQI14" s="94" t="s">
        <v>144</v>
      </c>
      <c r="PRO14" s="94" t="s">
        <v>144</v>
      </c>
      <c r="PSU14" s="94" t="s">
        <v>144</v>
      </c>
      <c r="PUA14" s="94" t="s">
        <v>144</v>
      </c>
      <c r="PVG14" s="94" t="s">
        <v>144</v>
      </c>
      <c r="PWM14" s="94" t="s">
        <v>144</v>
      </c>
      <c r="PXS14" s="94" t="s">
        <v>144</v>
      </c>
      <c r="PYY14" s="94" t="s">
        <v>144</v>
      </c>
      <c r="QAE14" s="94" t="s">
        <v>144</v>
      </c>
      <c r="QBK14" s="94" t="s">
        <v>144</v>
      </c>
      <c r="QCQ14" s="94" t="s">
        <v>144</v>
      </c>
      <c r="QDW14" s="94" t="s">
        <v>144</v>
      </c>
      <c r="QFC14" s="94" t="s">
        <v>144</v>
      </c>
      <c r="QGI14" s="94" t="s">
        <v>144</v>
      </c>
      <c r="QHO14" s="94" t="s">
        <v>144</v>
      </c>
      <c r="QIU14" s="94" t="s">
        <v>144</v>
      </c>
      <c r="QKA14" s="94" t="s">
        <v>144</v>
      </c>
      <c r="QLG14" s="94" t="s">
        <v>144</v>
      </c>
      <c r="QMM14" s="94" t="s">
        <v>144</v>
      </c>
      <c r="QNS14" s="94" t="s">
        <v>144</v>
      </c>
      <c r="QOY14" s="94" t="s">
        <v>144</v>
      </c>
      <c r="QQE14" s="94" t="s">
        <v>144</v>
      </c>
      <c r="QRK14" s="94" t="s">
        <v>144</v>
      </c>
      <c r="QSQ14" s="94" t="s">
        <v>144</v>
      </c>
      <c r="QTW14" s="94" t="s">
        <v>144</v>
      </c>
      <c r="QVC14" s="94" t="s">
        <v>144</v>
      </c>
      <c r="QWI14" s="94" t="s">
        <v>144</v>
      </c>
      <c r="QXO14" s="94" t="s">
        <v>144</v>
      </c>
      <c r="QYU14" s="94" t="s">
        <v>144</v>
      </c>
      <c r="RAA14" s="94" t="s">
        <v>144</v>
      </c>
      <c r="RBG14" s="94" t="s">
        <v>144</v>
      </c>
      <c r="RCM14" s="94" t="s">
        <v>144</v>
      </c>
      <c r="RDS14" s="94" t="s">
        <v>144</v>
      </c>
      <c r="REY14" s="94" t="s">
        <v>144</v>
      </c>
      <c r="RGE14" s="94" t="s">
        <v>144</v>
      </c>
      <c r="RHK14" s="94" t="s">
        <v>144</v>
      </c>
      <c r="RIQ14" s="94" t="s">
        <v>144</v>
      </c>
      <c r="RJW14" s="94" t="s">
        <v>144</v>
      </c>
      <c r="RLC14" s="94" t="s">
        <v>144</v>
      </c>
      <c r="RMI14" s="94" t="s">
        <v>144</v>
      </c>
      <c r="RNO14" s="94" t="s">
        <v>144</v>
      </c>
      <c r="ROU14" s="94" t="s">
        <v>144</v>
      </c>
      <c r="RQA14" s="94" t="s">
        <v>144</v>
      </c>
      <c r="RRG14" s="94" t="s">
        <v>144</v>
      </c>
      <c r="RSM14" s="94" t="s">
        <v>144</v>
      </c>
      <c r="RTS14" s="94" t="s">
        <v>144</v>
      </c>
      <c r="RUY14" s="94" t="s">
        <v>144</v>
      </c>
      <c r="RWE14" s="94" t="s">
        <v>144</v>
      </c>
      <c r="RXK14" s="94" t="s">
        <v>144</v>
      </c>
      <c r="RYQ14" s="94" t="s">
        <v>144</v>
      </c>
      <c r="RZW14" s="94" t="s">
        <v>144</v>
      </c>
      <c r="SBC14" s="94" t="s">
        <v>144</v>
      </c>
      <c r="SCI14" s="94" t="s">
        <v>144</v>
      </c>
      <c r="SDO14" s="94" t="s">
        <v>144</v>
      </c>
      <c r="SEU14" s="94" t="s">
        <v>144</v>
      </c>
      <c r="SGA14" s="94" t="s">
        <v>144</v>
      </c>
      <c r="SHG14" s="94" t="s">
        <v>144</v>
      </c>
      <c r="SIM14" s="94" t="s">
        <v>144</v>
      </c>
      <c r="SJS14" s="94" t="s">
        <v>144</v>
      </c>
      <c r="SKY14" s="94" t="s">
        <v>144</v>
      </c>
      <c r="SME14" s="94" t="s">
        <v>144</v>
      </c>
      <c r="SNK14" s="94" t="s">
        <v>144</v>
      </c>
      <c r="SOQ14" s="94" t="s">
        <v>144</v>
      </c>
      <c r="SPW14" s="94" t="s">
        <v>144</v>
      </c>
      <c r="SRC14" s="94" t="s">
        <v>144</v>
      </c>
      <c r="SSI14" s="94" t="s">
        <v>144</v>
      </c>
      <c r="STO14" s="94" t="s">
        <v>144</v>
      </c>
      <c r="SUU14" s="94" t="s">
        <v>144</v>
      </c>
      <c r="SWA14" s="94" t="s">
        <v>144</v>
      </c>
      <c r="SXG14" s="94" t="s">
        <v>144</v>
      </c>
      <c r="SYM14" s="94" t="s">
        <v>144</v>
      </c>
      <c r="SZS14" s="94" t="s">
        <v>144</v>
      </c>
      <c r="TAY14" s="94" t="s">
        <v>144</v>
      </c>
      <c r="TCE14" s="94" t="s">
        <v>144</v>
      </c>
      <c r="TDK14" s="94" t="s">
        <v>144</v>
      </c>
      <c r="TEQ14" s="94" t="s">
        <v>144</v>
      </c>
      <c r="TFW14" s="94" t="s">
        <v>144</v>
      </c>
      <c r="THC14" s="94" t="s">
        <v>144</v>
      </c>
      <c r="TII14" s="94" t="s">
        <v>144</v>
      </c>
      <c r="TJO14" s="94" t="s">
        <v>144</v>
      </c>
      <c r="TKU14" s="94" t="s">
        <v>144</v>
      </c>
      <c r="TMA14" s="94" t="s">
        <v>144</v>
      </c>
      <c r="TNG14" s="94" t="s">
        <v>144</v>
      </c>
      <c r="TOM14" s="94" t="s">
        <v>144</v>
      </c>
      <c r="TPS14" s="94" t="s">
        <v>144</v>
      </c>
      <c r="TQY14" s="94" t="s">
        <v>144</v>
      </c>
      <c r="TSE14" s="94" t="s">
        <v>144</v>
      </c>
      <c r="TTK14" s="94" t="s">
        <v>144</v>
      </c>
      <c r="TUQ14" s="94" t="s">
        <v>144</v>
      </c>
      <c r="TVW14" s="94" t="s">
        <v>144</v>
      </c>
      <c r="TXC14" s="94" t="s">
        <v>144</v>
      </c>
      <c r="TYI14" s="94" t="s">
        <v>144</v>
      </c>
      <c r="TZO14" s="94" t="s">
        <v>144</v>
      </c>
      <c r="UAU14" s="94" t="s">
        <v>144</v>
      </c>
      <c r="UCA14" s="94" t="s">
        <v>144</v>
      </c>
      <c r="UDG14" s="94" t="s">
        <v>144</v>
      </c>
      <c r="UEM14" s="94" t="s">
        <v>144</v>
      </c>
      <c r="UFS14" s="94" t="s">
        <v>144</v>
      </c>
      <c r="UGY14" s="94" t="s">
        <v>144</v>
      </c>
      <c r="UIE14" s="94" t="s">
        <v>144</v>
      </c>
      <c r="UJK14" s="94" t="s">
        <v>144</v>
      </c>
      <c r="UKQ14" s="94" t="s">
        <v>144</v>
      </c>
      <c r="ULW14" s="94" t="s">
        <v>144</v>
      </c>
      <c r="UNC14" s="94" t="s">
        <v>144</v>
      </c>
      <c r="UOI14" s="94" t="s">
        <v>144</v>
      </c>
      <c r="UPO14" s="94" t="s">
        <v>144</v>
      </c>
      <c r="UQU14" s="94" t="s">
        <v>144</v>
      </c>
      <c r="USA14" s="94" t="s">
        <v>144</v>
      </c>
      <c r="UTG14" s="94" t="s">
        <v>144</v>
      </c>
      <c r="UUM14" s="94" t="s">
        <v>144</v>
      </c>
      <c r="UVS14" s="94" t="s">
        <v>144</v>
      </c>
      <c r="UWY14" s="94" t="s">
        <v>144</v>
      </c>
      <c r="UYE14" s="94" t="s">
        <v>144</v>
      </c>
      <c r="UZK14" s="94" t="s">
        <v>144</v>
      </c>
      <c r="VAQ14" s="94" t="s">
        <v>144</v>
      </c>
      <c r="VBW14" s="94" t="s">
        <v>144</v>
      </c>
      <c r="VDC14" s="94" t="s">
        <v>144</v>
      </c>
      <c r="VEI14" s="94" t="s">
        <v>144</v>
      </c>
      <c r="VFO14" s="94" t="s">
        <v>144</v>
      </c>
      <c r="VGU14" s="94" t="s">
        <v>144</v>
      </c>
      <c r="VIA14" s="94" t="s">
        <v>144</v>
      </c>
      <c r="VJG14" s="94" t="s">
        <v>144</v>
      </c>
      <c r="VKM14" s="94" t="s">
        <v>144</v>
      </c>
      <c r="VLS14" s="94" t="s">
        <v>144</v>
      </c>
      <c r="VMY14" s="94" t="s">
        <v>144</v>
      </c>
      <c r="VOE14" s="94" t="s">
        <v>144</v>
      </c>
      <c r="VPK14" s="94" t="s">
        <v>144</v>
      </c>
      <c r="VQQ14" s="94" t="s">
        <v>144</v>
      </c>
      <c r="VRW14" s="94" t="s">
        <v>144</v>
      </c>
      <c r="VTC14" s="94" t="s">
        <v>144</v>
      </c>
      <c r="VUI14" s="94" t="s">
        <v>144</v>
      </c>
      <c r="VVO14" s="94" t="s">
        <v>144</v>
      </c>
      <c r="VWU14" s="94" t="s">
        <v>144</v>
      </c>
      <c r="VYA14" s="94" t="s">
        <v>144</v>
      </c>
      <c r="VZG14" s="94" t="s">
        <v>144</v>
      </c>
      <c r="WAM14" s="94" t="s">
        <v>144</v>
      </c>
      <c r="WBS14" s="94" t="s">
        <v>144</v>
      </c>
      <c r="WCY14" s="94" t="s">
        <v>144</v>
      </c>
      <c r="WEE14" s="94" t="s">
        <v>144</v>
      </c>
      <c r="WFK14" s="94" t="s">
        <v>144</v>
      </c>
      <c r="WGQ14" s="94" t="s">
        <v>144</v>
      </c>
      <c r="WHW14" s="94" t="s">
        <v>144</v>
      </c>
      <c r="WJC14" s="94" t="s">
        <v>144</v>
      </c>
      <c r="WKI14" s="94" t="s">
        <v>144</v>
      </c>
      <c r="WLO14" s="94" t="s">
        <v>144</v>
      </c>
      <c r="WMU14" s="94" t="s">
        <v>144</v>
      </c>
      <c r="WOA14" s="94" t="s">
        <v>144</v>
      </c>
      <c r="WPG14" s="94" t="s">
        <v>144</v>
      </c>
      <c r="WQM14" s="94" t="s">
        <v>144</v>
      </c>
      <c r="WRS14" s="94" t="s">
        <v>144</v>
      </c>
      <c r="WSY14" s="94" t="s">
        <v>144</v>
      </c>
      <c r="WUE14" s="94" t="s">
        <v>144</v>
      </c>
      <c r="WVK14" s="94" t="s">
        <v>144</v>
      </c>
      <c r="WWQ14" s="94" t="s">
        <v>144</v>
      </c>
      <c r="WXW14" s="94" t="s">
        <v>144</v>
      </c>
      <c r="WZC14" s="94" t="s">
        <v>144</v>
      </c>
      <c r="XAI14" s="94" t="s">
        <v>144</v>
      </c>
      <c r="XBO14" s="94" t="s">
        <v>144</v>
      </c>
      <c r="XCU14" s="94" t="s">
        <v>144</v>
      </c>
      <c r="XEA14" s="94" t="s">
        <v>144</v>
      </c>
    </row>
    <row r="15" spans="2:1007 1026:2031 2050:3055 3074:4079 4098:5103 5122:6127 6146:7151 7170:8175 8194:9199 9218:10223 10242:11247 11266:12271 12290:13295 13314:14319 14338:15343 15362:16367" s="94" customFormat="1">
      <c r="C15" s="94" t="s">
        <v>145</v>
      </c>
      <c r="AI15" s="94" t="s">
        <v>145</v>
      </c>
      <c r="BO15" s="94" t="s">
        <v>145</v>
      </c>
      <c r="CU15" s="94" t="s">
        <v>145</v>
      </c>
      <c r="EA15" s="94" t="s">
        <v>145</v>
      </c>
      <c r="FG15" s="94" t="s">
        <v>145</v>
      </c>
      <c r="GM15" s="94" t="s">
        <v>145</v>
      </c>
      <c r="HS15" s="94" t="s">
        <v>145</v>
      </c>
      <c r="IY15" s="94" t="s">
        <v>145</v>
      </c>
      <c r="KE15" s="94" t="s">
        <v>145</v>
      </c>
      <c r="LK15" s="94" t="s">
        <v>145</v>
      </c>
      <c r="MQ15" s="94" t="s">
        <v>145</v>
      </c>
      <c r="NW15" s="94" t="s">
        <v>145</v>
      </c>
      <c r="PC15" s="94" t="s">
        <v>145</v>
      </c>
      <c r="QI15" s="94" t="s">
        <v>145</v>
      </c>
      <c r="RO15" s="94" t="s">
        <v>145</v>
      </c>
      <c r="SU15" s="94" t="s">
        <v>145</v>
      </c>
      <c r="UA15" s="94" t="s">
        <v>145</v>
      </c>
      <c r="VG15" s="94" t="s">
        <v>145</v>
      </c>
      <c r="WM15" s="94" t="s">
        <v>145</v>
      </c>
      <c r="XS15" s="94" t="s">
        <v>145</v>
      </c>
      <c r="YY15" s="94" t="s">
        <v>145</v>
      </c>
      <c r="AAE15" s="94" t="s">
        <v>145</v>
      </c>
      <c r="ABK15" s="94" t="s">
        <v>145</v>
      </c>
      <c r="ACQ15" s="94" t="s">
        <v>145</v>
      </c>
      <c r="ADW15" s="94" t="s">
        <v>145</v>
      </c>
      <c r="AFC15" s="94" t="s">
        <v>145</v>
      </c>
      <c r="AGI15" s="94" t="s">
        <v>145</v>
      </c>
      <c r="AHO15" s="94" t="s">
        <v>145</v>
      </c>
      <c r="AIU15" s="94" t="s">
        <v>145</v>
      </c>
      <c r="AKA15" s="94" t="s">
        <v>145</v>
      </c>
      <c r="ALG15" s="94" t="s">
        <v>145</v>
      </c>
      <c r="AMM15" s="94" t="s">
        <v>145</v>
      </c>
      <c r="ANS15" s="94" t="s">
        <v>145</v>
      </c>
      <c r="AOY15" s="94" t="s">
        <v>145</v>
      </c>
      <c r="AQE15" s="94" t="s">
        <v>145</v>
      </c>
      <c r="ARK15" s="94" t="s">
        <v>145</v>
      </c>
      <c r="ASQ15" s="94" t="s">
        <v>145</v>
      </c>
      <c r="ATW15" s="94" t="s">
        <v>145</v>
      </c>
      <c r="AVC15" s="94" t="s">
        <v>145</v>
      </c>
      <c r="AWI15" s="94" t="s">
        <v>145</v>
      </c>
      <c r="AXO15" s="94" t="s">
        <v>145</v>
      </c>
      <c r="AYU15" s="94" t="s">
        <v>145</v>
      </c>
      <c r="BAA15" s="94" t="s">
        <v>145</v>
      </c>
      <c r="BBG15" s="94" t="s">
        <v>145</v>
      </c>
      <c r="BCM15" s="94" t="s">
        <v>145</v>
      </c>
      <c r="BDS15" s="94" t="s">
        <v>145</v>
      </c>
      <c r="BEY15" s="94" t="s">
        <v>145</v>
      </c>
      <c r="BGE15" s="94" t="s">
        <v>145</v>
      </c>
      <c r="BHK15" s="94" t="s">
        <v>145</v>
      </c>
      <c r="BIQ15" s="94" t="s">
        <v>145</v>
      </c>
      <c r="BJW15" s="94" t="s">
        <v>145</v>
      </c>
      <c r="BLC15" s="94" t="s">
        <v>145</v>
      </c>
      <c r="BMI15" s="94" t="s">
        <v>145</v>
      </c>
      <c r="BNO15" s="94" t="s">
        <v>145</v>
      </c>
      <c r="BOU15" s="94" t="s">
        <v>145</v>
      </c>
      <c r="BQA15" s="94" t="s">
        <v>145</v>
      </c>
      <c r="BRG15" s="94" t="s">
        <v>145</v>
      </c>
      <c r="BSM15" s="94" t="s">
        <v>145</v>
      </c>
      <c r="BTS15" s="94" t="s">
        <v>145</v>
      </c>
      <c r="BUY15" s="94" t="s">
        <v>145</v>
      </c>
      <c r="BWE15" s="94" t="s">
        <v>145</v>
      </c>
      <c r="BXK15" s="94" t="s">
        <v>145</v>
      </c>
      <c r="BYQ15" s="94" t="s">
        <v>145</v>
      </c>
      <c r="BZW15" s="94" t="s">
        <v>145</v>
      </c>
      <c r="CBC15" s="94" t="s">
        <v>145</v>
      </c>
      <c r="CCI15" s="94" t="s">
        <v>145</v>
      </c>
      <c r="CDO15" s="94" t="s">
        <v>145</v>
      </c>
      <c r="CEU15" s="94" t="s">
        <v>145</v>
      </c>
      <c r="CGA15" s="94" t="s">
        <v>145</v>
      </c>
      <c r="CHG15" s="94" t="s">
        <v>145</v>
      </c>
      <c r="CIM15" s="94" t="s">
        <v>145</v>
      </c>
      <c r="CJS15" s="94" t="s">
        <v>145</v>
      </c>
      <c r="CKY15" s="94" t="s">
        <v>145</v>
      </c>
      <c r="CME15" s="94" t="s">
        <v>145</v>
      </c>
      <c r="CNK15" s="94" t="s">
        <v>145</v>
      </c>
      <c r="COQ15" s="94" t="s">
        <v>145</v>
      </c>
      <c r="CPW15" s="94" t="s">
        <v>145</v>
      </c>
      <c r="CRC15" s="94" t="s">
        <v>145</v>
      </c>
      <c r="CSI15" s="94" t="s">
        <v>145</v>
      </c>
      <c r="CTO15" s="94" t="s">
        <v>145</v>
      </c>
      <c r="CUU15" s="94" t="s">
        <v>145</v>
      </c>
      <c r="CWA15" s="94" t="s">
        <v>145</v>
      </c>
      <c r="CXG15" s="94" t="s">
        <v>145</v>
      </c>
      <c r="CYM15" s="94" t="s">
        <v>145</v>
      </c>
      <c r="CZS15" s="94" t="s">
        <v>145</v>
      </c>
      <c r="DAY15" s="94" t="s">
        <v>145</v>
      </c>
      <c r="DCE15" s="94" t="s">
        <v>145</v>
      </c>
      <c r="DDK15" s="94" t="s">
        <v>145</v>
      </c>
      <c r="DEQ15" s="94" t="s">
        <v>145</v>
      </c>
      <c r="DFW15" s="94" t="s">
        <v>145</v>
      </c>
      <c r="DHC15" s="94" t="s">
        <v>145</v>
      </c>
      <c r="DII15" s="94" t="s">
        <v>145</v>
      </c>
      <c r="DJO15" s="94" t="s">
        <v>145</v>
      </c>
      <c r="DKU15" s="94" t="s">
        <v>145</v>
      </c>
      <c r="DMA15" s="94" t="s">
        <v>145</v>
      </c>
      <c r="DNG15" s="94" t="s">
        <v>145</v>
      </c>
      <c r="DOM15" s="94" t="s">
        <v>145</v>
      </c>
      <c r="DPS15" s="94" t="s">
        <v>145</v>
      </c>
      <c r="DQY15" s="94" t="s">
        <v>145</v>
      </c>
      <c r="DSE15" s="94" t="s">
        <v>145</v>
      </c>
      <c r="DTK15" s="94" t="s">
        <v>145</v>
      </c>
      <c r="DUQ15" s="94" t="s">
        <v>145</v>
      </c>
      <c r="DVW15" s="94" t="s">
        <v>145</v>
      </c>
      <c r="DXC15" s="94" t="s">
        <v>145</v>
      </c>
      <c r="DYI15" s="94" t="s">
        <v>145</v>
      </c>
      <c r="DZO15" s="94" t="s">
        <v>145</v>
      </c>
      <c r="EAU15" s="94" t="s">
        <v>145</v>
      </c>
      <c r="ECA15" s="94" t="s">
        <v>145</v>
      </c>
      <c r="EDG15" s="94" t="s">
        <v>145</v>
      </c>
      <c r="EEM15" s="94" t="s">
        <v>145</v>
      </c>
      <c r="EFS15" s="94" t="s">
        <v>145</v>
      </c>
      <c r="EGY15" s="94" t="s">
        <v>145</v>
      </c>
      <c r="EIE15" s="94" t="s">
        <v>145</v>
      </c>
      <c r="EJK15" s="94" t="s">
        <v>145</v>
      </c>
      <c r="EKQ15" s="94" t="s">
        <v>145</v>
      </c>
      <c r="ELW15" s="94" t="s">
        <v>145</v>
      </c>
      <c r="ENC15" s="94" t="s">
        <v>145</v>
      </c>
      <c r="EOI15" s="94" t="s">
        <v>145</v>
      </c>
      <c r="EPO15" s="94" t="s">
        <v>145</v>
      </c>
      <c r="EQU15" s="94" t="s">
        <v>145</v>
      </c>
      <c r="ESA15" s="94" t="s">
        <v>145</v>
      </c>
      <c r="ETG15" s="94" t="s">
        <v>145</v>
      </c>
      <c r="EUM15" s="94" t="s">
        <v>145</v>
      </c>
      <c r="EVS15" s="94" t="s">
        <v>145</v>
      </c>
      <c r="EWY15" s="94" t="s">
        <v>145</v>
      </c>
      <c r="EYE15" s="94" t="s">
        <v>145</v>
      </c>
      <c r="EZK15" s="94" t="s">
        <v>145</v>
      </c>
      <c r="FAQ15" s="94" t="s">
        <v>145</v>
      </c>
      <c r="FBW15" s="94" t="s">
        <v>145</v>
      </c>
      <c r="FDC15" s="94" t="s">
        <v>145</v>
      </c>
      <c r="FEI15" s="94" t="s">
        <v>145</v>
      </c>
      <c r="FFO15" s="94" t="s">
        <v>145</v>
      </c>
      <c r="FGU15" s="94" t="s">
        <v>145</v>
      </c>
      <c r="FIA15" s="94" t="s">
        <v>145</v>
      </c>
      <c r="FJG15" s="94" t="s">
        <v>145</v>
      </c>
      <c r="FKM15" s="94" t="s">
        <v>145</v>
      </c>
      <c r="FLS15" s="94" t="s">
        <v>145</v>
      </c>
      <c r="FMY15" s="94" t="s">
        <v>145</v>
      </c>
      <c r="FOE15" s="94" t="s">
        <v>145</v>
      </c>
      <c r="FPK15" s="94" t="s">
        <v>145</v>
      </c>
      <c r="FQQ15" s="94" t="s">
        <v>145</v>
      </c>
      <c r="FRW15" s="94" t="s">
        <v>145</v>
      </c>
      <c r="FTC15" s="94" t="s">
        <v>145</v>
      </c>
      <c r="FUI15" s="94" t="s">
        <v>145</v>
      </c>
      <c r="FVO15" s="94" t="s">
        <v>145</v>
      </c>
      <c r="FWU15" s="94" t="s">
        <v>145</v>
      </c>
      <c r="FYA15" s="94" t="s">
        <v>145</v>
      </c>
      <c r="FZG15" s="94" t="s">
        <v>145</v>
      </c>
      <c r="GAM15" s="94" t="s">
        <v>145</v>
      </c>
      <c r="GBS15" s="94" t="s">
        <v>145</v>
      </c>
      <c r="GCY15" s="94" t="s">
        <v>145</v>
      </c>
      <c r="GEE15" s="94" t="s">
        <v>145</v>
      </c>
      <c r="GFK15" s="94" t="s">
        <v>145</v>
      </c>
      <c r="GGQ15" s="94" t="s">
        <v>145</v>
      </c>
      <c r="GHW15" s="94" t="s">
        <v>145</v>
      </c>
      <c r="GJC15" s="94" t="s">
        <v>145</v>
      </c>
      <c r="GKI15" s="94" t="s">
        <v>145</v>
      </c>
      <c r="GLO15" s="94" t="s">
        <v>145</v>
      </c>
      <c r="GMU15" s="94" t="s">
        <v>145</v>
      </c>
      <c r="GOA15" s="94" t="s">
        <v>145</v>
      </c>
      <c r="GPG15" s="94" t="s">
        <v>145</v>
      </c>
      <c r="GQM15" s="94" t="s">
        <v>145</v>
      </c>
      <c r="GRS15" s="94" t="s">
        <v>145</v>
      </c>
      <c r="GSY15" s="94" t="s">
        <v>145</v>
      </c>
      <c r="GUE15" s="94" t="s">
        <v>145</v>
      </c>
      <c r="GVK15" s="94" t="s">
        <v>145</v>
      </c>
      <c r="GWQ15" s="94" t="s">
        <v>145</v>
      </c>
      <c r="GXW15" s="94" t="s">
        <v>145</v>
      </c>
      <c r="GZC15" s="94" t="s">
        <v>145</v>
      </c>
      <c r="HAI15" s="94" t="s">
        <v>145</v>
      </c>
      <c r="HBO15" s="94" t="s">
        <v>145</v>
      </c>
      <c r="HCU15" s="94" t="s">
        <v>145</v>
      </c>
      <c r="HEA15" s="94" t="s">
        <v>145</v>
      </c>
      <c r="HFG15" s="94" t="s">
        <v>145</v>
      </c>
      <c r="HGM15" s="94" t="s">
        <v>145</v>
      </c>
      <c r="HHS15" s="94" t="s">
        <v>145</v>
      </c>
      <c r="HIY15" s="94" t="s">
        <v>145</v>
      </c>
      <c r="HKE15" s="94" t="s">
        <v>145</v>
      </c>
      <c r="HLK15" s="94" t="s">
        <v>145</v>
      </c>
      <c r="HMQ15" s="94" t="s">
        <v>145</v>
      </c>
      <c r="HNW15" s="94" t="s">
        <v>145</v>
      </c>
      <c r="HPC15" s="94" t="s">
        <v>145</v>
      </c>
      <c r="HQI15" s="94" t="s">
        <v>145</v>
      </c>
      <c r="HRO15" s="94" t="s">
        <v>145</v>
      </c>
      <c r="HSU15" s="94" t="s">
        <v>145</v>
      </c>
      <c r="HUA15" s="94" t="s">
        <v>145</v>
      </c>
      <c r="HVG15" s="94" t="s">
        <v>145</v>
      </c>
      <c r="HWM15" s="94" t="s">
        <v>145</v>
      </c>
      <c r="HXS15" s="94" t="s">
        <v>145</v>
      </c>
      <c r="HYY15" s="94" t="s">
        <v>145</v>
      </c>
      <c r="IAE15" s="94" t="s">
        <v>145</v>
      </c>
      <c r="IBK15" s="94" t="s">
        <v>145</v>
      </c>
      <c r="ICQ15" s="94" t="s">
        <v>145</v>
      </c>
      <c r="IDW15" s="94" t="s">
        <v>145</v>
      </c>
      <c r="IFC15" s="94" t="s">
        <v>145</v>
      </c>
      <c r="IGI15" s="94" t="s">
        <v>145</v>
      </c>
      <c r="IHO15" s="94" t="s">
        <v>145</v>
      </c>
      <c r="IIU15" s="94" t="s">
        <v>145</v>
      </c>
      <c r="IKA15" s="94" t="s">
        <v>145</v>
      </c>
      <c r="ILG15" s="94" t="s">
        <v>145</v>
      </c>
      <c r="IMM15" s="94" t="s">
        <v>145</v>
      </c>
      <c r="INS15" s="94" t="s">
        <v>145</v>
      </c>
      <c r="IOY15" s="94" t="s">
        <v>145</v>
      </c>
      <c r="IQE15" s="94" t="s">
        <v>145</v>
      </c>
      <c r="IRK15" s="94" t="s">
        <v>145</v>
      </c>
      <c r="ISQ15" s="94" t="s">
        <v>145</v>
      </c>
      <c r="ITW15" s="94" t="s">
        <v>145</v>
      </c>
      <c r="IVC15" s="94" t="s">
        <v>145</v>
      </c>
      <c r="IWI15" s="94" t="s">
        <v>145</v>
      </c>
      <c r="IXO15" s="94" t="s">
        <v>145</v>
      </c>
      <c r="IYU15" s="94" t="s">
        <v>145</v>
      </c>
      <c r="JAA15" s="94" t="s">
        <v>145</v>
      </c>
      <c r="JBG15" s="94" t="s">
        <v>145</v>
      </c>
      <c r="JCM15" s="94" t="s">
        <v>145</v>
      </c>
      <c r="JDS15" s="94" t="s">
        <v>145</v>
      </c>
      <c r="JEY15" s="94" t="s">
        <v>145</v>
      </c>
      <c r="JGE15" s="94" t="s">
        <v>145</v>
      </c>
      <c r="JHK15" s="94" t="s">
        <v>145</v>
      </c>
      <c r="JIQ15" s="94" t="s">
        <v>145</v>
      </c>
      <c r="JJW15" s="94" t="s">
        <v>145</v>
      </c>
      <c r="JLC15" s="94" t="s">
        <v>145</v>
      </c>
      <c r="JMI15" s="94" t="s">
        <v>145</v>
      </c>
      <c r="JNO15" s="94" t="s">
        <v>145</v>
      </c>
      <c r="JOU15" s="94" t="s">
        <v>145</v>
      </c>
      <c r="JQA15" s="94" t="s">
        <v>145</v>
      </c>
      <c r="JRG15" s="94" t="s">
        <v>145</v>
      </c>
      <c r="JSM15" s="94" t="s">
        <v>145</v>
      </c>
      <c r="JTS15" s="94" t="s">
        <v>145</v>
      </c>
      <c r="JUY15" s="94" t="s">
        <v>145</v>
      </c>
      <c r="JWE15" s="94" t="s">
        <v>145</v>
      </c>
      <c r="JXK15" s="94" t="s">
        <v>145</v>
      </c>
      <c r="JYQ15" s="94" t="s">
        <v>145</v>
      </c>
      <c r="JZW15" s="94" t="s">
        <v>145</v>
      </c>
      <c r="KBC15" s="94" t="s">
        <v>145</v>
      </c>
      <c r="KCI15" s="94" t="s">
        <v>145</v>
      </c>
      <c r="KDO15" s="94" t="s">
        <v>145</v>
      </c>
      <c r="KEU15" s="94" t="s">
        <v>145</v>
      </c>
      <c r="KGA15" s="94" t="s">
        <v>145</v>
      </c>
      <c r="KHG15" s="94" t="s">
        <v>145</v>
      </c>
      <c r="KIM15" s="94" t="s">
        <v>145</v>
      </c>
      <c r="KJS15" s="94" t="s">
        <v>145</v>
      </c>
      <c r="KKY15" s="94" t="s">
        <v>145</v>
      </c>
      <c r="KME15" s="94" t="s">
        <v>145</v>
      </c>
      <c r="KNK15" s="94" t="s">
        <v>145</v>
      </c>
      <c r="KOQ15" s="94" t="s">
        <v>145</v>
      </c>
      <c r="KPW15" s="94" t="s">
        <v>145</v>
      </c>
      <c r="KRC15" s="94" t="s">
        <v>145</v>
      </c>
      <c r="KSI15" s="94" t="s">
        <v>145</v>
      </c>
      <c r="KTO15" s="94" t="s">
        <v>145</v>
      </c>
      <c r="KUU15" s="94" t="s">
        <v>145</v>
      </c>
      <c r="KWA15" s="94" t="s">
        <v>145</v>
      </c>
      <c r="KXG15" s="94" t="s">
        <v>145</v>
      </c>
      <c r="KYM15" s="94" t="s">
        <v>145</v>
      </c>
      <c r="KZS15" s="94" t="s">
        <v>145</v>
      </c>
      <c r="LAY15" s="94" t="s">
        <v>145</v>
      </c>
      <c r="LCE15" s="94" t="s">
        <v>145</v>
      </c>
      <c r="LDK15" s="94" t="s">
        <v>145</v>
      </c>
      <c r="LEQ15" s="94" t="s">
        <v>145</v>
      </c>
      <c r="LFW15" s="94" t="s">
        <v>145</v>
      </c>
      <c r="LHC15" s="94" t="s">
        <v>145</v>
      </c>
      <c r="LII15" s="94" t="s">
        <v>145</v>
      </c>
      <c r="LJO15" s="94" t="s">
        <v>145</v>
      </c>
      <c r="LKU15" s="94" t="s">
        <v>145</v>
      </c>
      <c r="LMA15" s="94" t="s">
        <v>145</v>
      </c>
      <c r="LNG15" s="94" t="s">
        <v>145</v>
      </c>
      <c r="LOM15" s="94" t="s">
        <v>145</v>
      </c>
      <c r="LPS15" s="94" t="s">
        <v>145</v>
      </c>
      <c r="LQY15" s="94" t="s">
        <v>145</v>
      </c>
      <c r="LSE15" s="94" t="s">
        <v>145</v>
      </c>
      <c r="LTK15" s="94" t="s">
        <v>145</v>
      </c>
      <c r="LUQ15" s="94" t="s">
        <v>145</v>
      </c>
      <c r="LVW15" s="94" t="s">
        <v>145</v>
      </c>
      <c r="LXC15" s="94" t="s">
        <v>145</v>
      </c>
      <c r="LYI15" s="94" t="s">
        <v>145</v>
      </c>
      <c r="LZO15" s="94" t="s">
        <v>145</v>
      </c>
      <c r="MAU15" s="94" t="s">
        <v>145</v>
      </c>
      <c r="MCA15" s="94" t="s">
        <v>145</v>
      </c>
      <c r="MDG15" s="94" t="s">
        <v>145</v>
      </c>
      <c r="MEM15" s="94" t="s">
        <v>145</v>
      </c>
      <c r="MFS15" s="94" t="s">
        <v>145</v>
      </c>
      <c r="MGY15" s="94" t="s">
        <v>145</v>
      </c>
      <c r="MIE15" s="94" t="s">
        <v>145</v>
      </c>
      <c r="MJK15" s="94" t="s">
        <v>145</v>
      </c>
      <c r="MKQ15" s="94" t="s">
        <v>145</v>
      </c>
      <c r="MLW15" s="94" t="s">
        <v>145</v>
      </c>
      <c r="MNC15" s="94" t="s">
        <v>145</v>
      </c>
      <c r="MOI15" s="94" t="s">
        <v>145</v>
      </c>
      <c r="MPO15" s="94" t="s">
        <v>145</v>
      </c>
      <c r="MQU15" s="94" t="s">
        <v>145</v>
      </c>
      <c r="MSA15" s="94" t="s">
        <v>145</v>
      </c>
      <c r="MTG15" s="94" t="s">
        <v>145</v>
      </c>
      <c r="MUM15" s="94" t="s">
        <v>145</v>
      </c>
      <c r="MVS15" s="94" t="s">
        <v>145</v>
      </c>
      <c r="MWY15" s="94" t="s">
        <v>145</v>
      </c>
      <c r="MYE15" s="94" t="s">
        <v>145</v>
      </c>
      <c r="MZK15" s="94" t="s">
        <v>145</v>
      </c>
      <c r="NAQ15" s="94" t="s">
        <v>145</v>
      </c>
      <c r="NBW15" s="94" t="s">
        <v>145</v>
      </c>
      <c r="NDC15" s="94" t="s">
        <v>145</v>
      </c>
      <c r="NEI15" s="94" t="s">
        <v>145</v>
      </c>
      <c r="NFO15" s="94" t="s">
        <v>145</v>
      </c>
      <c r="NGU15" s="94" t="s">
        <v>145</v>
      </c>
      <c r="NIA15" s="94" t="s">
        <v>145</v>
      </c>
      <c r="NJG15" s="94" t="s">
        <v>145</v>
      </c>
      <c r="NKM15" s="94" t="s">
        <v>145</v>
      </c>
      <c r="NLS15" s="94" t="s">
        <v>145</v>
      </c>
      <c r="NMY15" s="94" t="s">
        <v>145</v>
      </c>
      <c r="NOE15" s="94" t="s">
        <v>145</v>
      </c>
      <c r="NPK15" s="94" t="s">
        <v>145</v>
      </c>
      <c r="NQQ15" s="94" t="s">
        <v>145</v>
      </c>
      <c r="NRW15" s="94" t="s">
        <v>145</v>
      </c>
      <c r="NTC15" s="94" t="s">
        <v>145</v>
      </c>
      <c r="NUI15" s="94" t="s">
        <v>145</v>
      </c>
      <c r="NVO15" s="94" t="s">
        <v>145</v>
      </c>
      <c r="NWU15" s="94" t="s">
        <v>145</v>
      </c>
      <c r="NYA15" s="94" t="s">
        <v>145</v>
      </c>
      <c r="NZG15" s="94" t="s">
        <v>145</v>
      </c>
      <c r="OAM15" s="94" t="s">
        <v>145</v>
      </c>
      <c r="OBS15" s="94" t="s">
        <v>145</v>
      </c>
      <c r="OCY15" s="94" t="s">
        <v>145</v>
      </c>
      <c r="OEE15" s="94" t="s">
        <v>145</v>
      </c>
      <c r="OFK15" s="94" t="s">
        <v>145</v>
      </c>
      <c r="OGQ15" s="94" t="s">
        <v>145</v>
      </c>
      <c r="OHW15" s="94" t="s">
        <v>145</v>
      </c>
      <c r="OJC15" s="94" t="s">
        <v>145</v>
      </c>
      <c r="OKI15" s="94" t="s">
        <v>145</v>
      </c>
      <c r="OLO15" s="94" t="s">
        <v>145</v>
      </c>
      <c r="OMU15" s="94" t="s">
        <v>145</v>
      </c>
      <c r="OOA15" s="94" t="s">
        <v>145</v>
      </c>
      <c r="OPG15" s="94" t="s">
        <v>145</v>
      </c>
      <c r="OQM15" s="94" t="s">
        <v>145</v>
      </c>
      <c r="ORS15" s="94" t="s">
        <v>145</v>
      </c>
      <c r="OSY15" s="94" t="s">
        <v>145</v>
      </c>
      <c r="OUE15" s="94" t="s">
        <v>145</v>
      </c>
      <c r="OVK15" s="94" t="s">
        <v>145</v>
      </c>
      <c r="OWQ15" s="94" t="s">
        <v>145</v>
      </c>
      <c r="OXW15" s="94" t="s">
        <v>145</v>
      </c>
      <c r="OZC15" s="94" t="s">
        <v>145</v>
      </c>
      <c r="PAI15" s="94" t="s">
        <v>145</v>
      </c>
      <c r="PBO15" s="94" t="s">
        <v>145</v>
      </c>
      <c r="PCU15" s="94" t="s">
        <v>145</v>
      </c>
      <c r="PEA15" s="94" t="s">
        <v>145</v>
      </c>
      <c r="PFG15" s="94" t="s">
        <v>145</v>
      </c>
      <c r="PGM15" s="94" t="s">
        <v>145</v>
      </c>
      <c r="PHS15" s="94" t="s">
        <v>145</v>
      </c>
      <c r="PIY15" s="94" t="s">
        <v>145</v>
      </c>
      <c r="PKE15" s="94" t="s">
        <v>145</v>
      </c>
      <c r="PLK15" s="94" t="s">
        <v>145</v>
      </c>
      <c r="PMQ15" s="94" t="s">
        <v>145</v>
      </c>
      <c r="PNW15" s="94" t="s">
        <v>145</v>
      </c>
      <c r="PPC15" s="94" t="s">
        <v>145</v>
      </c>
      <c r="PQI15" s="94" t="s">
        <v>145</v>
      </c>
      <c r="PRO15" s="94" t="s">
        <v>145</v>
      </c>
      <c r="PSU15" s="94" t="s">
        <v>145</v>
      </c>
      <c r="PUA15" s="94" t="s">
        <v>145</v>
      </c>
      <c r="PVG15" s="94" t="s">
        <v>145</v>
      </c>
      <c r="PWM15" s="94" t="s">
        <v>145</v>
      </c>
      <c r="PXS15" s="94" t="s">
        <v>145</v>
      </c>
      <c r="PYY15" s="94" t="s">
        <v>145</v>
      </c>
      <c r="QAE15" s="94" t="s">
        <v>145</v>
      </c>
      <c r="QBK15" s="94" t="s">
        <v>145</v>
      </c>
      <c r="QCQ15" s="94" t="s">
        <v>145</v>
      </c>
      <c r="QDW15" s="94" t="s">
        <v>145</v>
      </c>
      <c r="QFC15" s="94" t="s">
        <v>145</v>
      </c>
      <c r="QGI15" s="94" t="s">
        <v>145</v>
      </c>
      <c r="QHO15" s="94" t="s">
        <v>145</v>
      </c>
      <c r="QIU15" s="94" t="s">
        <v>145</v>
      </c>
      <c r="QKA15" s="94" t="s">
        <v>145</v>
      </c>
      <c r="QLG15" s="94" t="s">
        <v>145</v>
      </c>
      <c r="QMM15" s="94" t="s">
        <v>145</v>
      </c>
      <c r="QNS15" s="94" t="s">
        <v>145</v>
      </c>
      <c r="QOY15" s="94" t="s">
        <v>145</v>
      </c>
      <c r="QQE15" s="94" t="s">
        <v>145</v>
      </c>
      <c r="QRK15" s="94" t="s">
        <v>145</v>
      </c>
      <c r="QSQ15" s="94" t="s">
        <v>145</v>
      </c>
      <c r="QTW15" s="94" t="s">
        <v>145</v>
      </c>
      <c r="QVC15" s="94" t="s">
        <v>145</v>
      </c>
      <c r="QWI15" s="94" t="s">
        <v>145</v>
      </c>
      <c r="QXO15" s="94" t="s">
        <v>145</v>
      </c>
      <c r="QYU15" s="94" t="s">
        <v>145</v>
      </c>
      <c r="RAA15" s="94" t="s">
        <v>145</v>
      </c>
      <c r="RBG15" s="94" t="s">
        <v>145</v>
      </c>
      <c r="RCM15" s="94" t="s">
        <v>145</v>
      </c>
      <c r="RDS15" s="94" t="s">
        <v>145</v>
      </c>
      <c r="REY15" s="94" t="s">
        <v>145</v>
      </c>
      <c r="RGE15" s="94" t="s">
        <v>145</v>
      </c>
      <c r="RHK15" s="94" t="s">
        <v>145</v>
      </c>
      <c r="RIQ15" s="94" t="s">
        <v>145</v>
      </c>
      <c r="RJW15" s="94" t="s">
        <v>145</v>
      </c>
      <c r="RLC15" s="94" t="s">
        <v>145</v>
      </c>
      <c r="RMI15" s="94" t="s">
        <v>145</v>
      </c>
      <c r="RNO15" s="94" t="s">
        <v>145</v>
      </c>
      <c r="ROU15" s="94" t="s">
        <v>145</v>
      </c>
      <c r="RQA15" s="94" t="s">
        <v>145</v>
      </c>
      <c r="RRG15" s="94" t="s">
        <v>145</v>
      </c>
      <c r="RSM15" s="94" t="s">
        <v>145</v>
      </c>
      <c r="RTS15" s="94" t="s">
        <v>145</v>
      </c>
      <c r="RUY15" s="94" t="s">
        <v>145</v>
      </c>
      <c r="RWE15" s="94" t="s">
        <v>145</v>
      </c>
      <c r="RXK15" s="94" t="s">
        <v>145</v>
      </c>
      <c r="RYQ15" s="94" t="s">
        <v>145</v>
      </c>
      <c r="RZW15" s="94" t="s">
        <v>145</v>
      </c>
      <c r="SBC15" s="94" t="s">
        <v>145</v>
      </c>
      <c r="SCI15" s="94" t="s">
        <v>145</v>
      </c>
      <c r="SDO15" s="94" t="s">
        <v>145</v>
      </c>
      <c r="SEU15" s="94" t="s">
        <v>145</v>
      </c>
      <c r="SGA15" s="94" t="s">
        <v>145</v>
      </c>
      <c r="SHG15" s="94" t="s">
        <v>145</v>
      </c>
      <c r="SIM15" s="94" t="s">
        <v>145</v>
      </c>
      <c r="SJS15" s="94" t="s">
        <v>145</v>
      </c>
      <c r="SKY15" s="94" t="s">
        <v>145</v>
      </c>
      <c r="SME15" s="94" t="s">
        <v>145</v>
      </c>
      <c r="SNK15" s="94" t="s">
        <v>145</v>
      </c>
      <c r="SOQ15" s="94" t="s">
        <v>145</v>
      </c>
      <c r="SPW15" s="94" t="s">
        <v>145</v>
      </c>
      <c r="SRC15" s="94" t="s">
        <v>145</v>
      </c>
      <c r="SSI15" s="94" t="s">
        <v>145</v>
      </c>
      <c r="STO15" s="94" t="s">
        <v>145</v>
      </c>
      <c r="SUU15" s="94" t="s">
        <v>145</v>
      </c>
      <c r="SWA15" s="94" t="s">
        <v>145</v>
      </c>
      <c r="SXG15" s="94" t="s">
        <v>145</v>
      </c>
      <c r="SYM15" s="94" t="s">
        <v>145</v>
      </c>
      <c r="SZS15" s="94" t="s">
        <v>145</v>
      </c>
      <c r="TAY15" s="94" t="s">
        <v>145</v>
      </c>
      <c r="TCE15" s="94" t="s">
        <v>145</v>
      </c>
      <c r="TDK15" s="94" t="s">
        <v>145</v>
      </c>
      <c r="TEQ15" s="94" t="s">
        <v>145</v>
      </c>
      <c r="TFW15" s="94" t="s">
        <v>145</v>
      </c>
      <c r="THC15" s="94" t="s">
        <v>145</v>
      </c>
      <c r="TII15" s="94" t="s">
        <v>145</v>
      </c>
      <c r="TJO15" s="94" t="s">
        <v>145</v>
      </c>
      <c r="TKU15" s="94" t="s">
        <v>145</v>
      </c>
      <c r="TMA15" s="94" t="s">
        <v>145</v>
      </c>
      <c r="TNG15" s="94" t="s">
        <v>145</v>
      </c>
      <c r="TOM15" s="94" t="s">
        <v>145</v>
      </c>
      <c r="TPS15" s="94" t="s">
        <v>145</v>
      </c>
      <c r="TQY15" s="94" t="s">
        <v>145</v>
      </c>
      <c r="TSE15" s="94" t="s">
        <v>145</v>
      </c>
      <c r="TTK15" s="94" t="s">
        <v>145</v>
      </c>
      <c r="TUQ15" s="94" t="s">
        <v>145</v>
      </c>
      <c r="TVW15" s="94" t="s">
        <v>145</v>
      </c>
      <c r="TXC15" s="94" t="s">
        <v>145</v>
      </c>
      <c r="TYI15" s="94" t="s">
        <v>145</v>
      </c>
      <c r="TZO15" s="94" t="s">
        <v>145</v>
      </c>
      <c r="UAU15" s="94" t="s">
        <v>145</v>
      </c>
      <c r="UCA15" s="94" t="s">
        <v>145</v>
      </c>
      <c r="UDG15" s="94" t="s">
        <v>145</v>
      </c>
      <c r="UEM15" s="94" t="s">
        <v>145</v>
      </c>
      <c r="UFS15" s="94" t="s">
        <v>145</v>
      </c>
      <c r="UGY15" s="94" t="s">
        <v>145</v>
      </c>
      <c r="UIE15" s="94" t="s">
        <v>145</v>
      </c>
      <c r="UJK15" s="94" t="s">
        <v>145</v>
      </c>
      <c r="UKQ15" s="94" t="s">
        <v>145</v>
      </c>
      <c r="ULW15" s="94" t="s">
        <v>145</v>
      </c>
      <c r="UNC15" s="94" t="s">
        <v>145</v>
      </c>
      <c r="UOI15" s="94" t="s">
        <v>145</v>
      </c>
      <c r="UPO15" s="94" t="s">
        <v>145</v>
      </c>
      <c r="UQU15" s="94" t="s">
        <v>145</v>
      </c>
      <c r="USA15" s="94" t="s">
        <v>145</v>
      </c>
      <c r="UTG15" s="94" t="s">
        <v>145</v>
      </c>
      <c r="UUM15" s="94" t="s">
        <v>145</v>
      </c>
      <c r="UVS15" s="94" t="s">
        <v>145</v>
      </c>
      <c r="UWY15" s="94" t="s">
        <v>145</v>
      </c>
      <c r="UYE15" s="94" t="s">
        <v>145</v>
      </c>
      <c r="UZK15" s="94" t="s">
        <v>145</v>
      </c>
      <c r="VAQ15" s="94" t="s">
        <v>145</v>
      </c>
      <c r="VBW15" s="94" t="s">
        <v>145</v>
      </c>
      <c r="VDC15" s="94" t="s">
        <v>145</v>
      </c>
      <c r="VEI15" s="94" t="s">
        <v>145</v>
      </c>
      <c r="VFO15" s="94" t="s">
        <v>145</v>
      </c>
      <c r="VGU15" s="94" t="s">
        <v>145</v>
      </c>
      <c r="VIA15" s="94" t="s">
        <v>145</v>
      </c>
      <c r="VJG15" s="94" t="s">
        <v>145</v>
      </c>
      <c r="VKM15" s="94" t="s">
        <v>145</v>
      </c>
      <c r="VLS15" s="94" t="s">
        <v>145</v>
      </c>
      <c r="VMY15" s="94" t="s">
        <v>145</v>
      </c>
      <c r="VOE15" s="94" t="s">
        <v>145</v>
      </c>
      <c r="VPK15" s="94" t="s">
        <v>145</v>
      </c>
      <c r="VQQ15" s="94" t="s">
        <v>145</v>
      </c>
      <c r="VRW15" s="94" t="s">
        <v>145</v>
      </c>
      <c r="VTC15" s="94" t="s">
        <v>145</v>
      </c>
      <c r="VUI15" s="94" t="s">
        <v>145</v>
      </c>
      <c r="VVO15" s="94" t="s">
        <v>145</v>
      </c>
      <c r="VWU15" s="94" t="s">
        <v>145</v>
      </c>
      <c r="VYA15" s="94" t="s">
        <v>145</v>
      </c>
      <c r="VZG15" s="94" t="s">
        <v>145</v>
      </c>
      <c r="WAM15" s="94" t="s">
        <v>145</v>
      </c>
      <c r="WBS15" s="94" t="s">
        <v>145</v>
      </c>
      <c r="WCY15" s="94" t="s">
        <v>145</v>
      </c>
      <c r="WEE15" s="94" t="s">
        <v>145</v>
      </c>
      <c r="WFK15" s="94" t="s">
        <v>145</v>
      </c>
      <c r="WGQ15" s="94" t="s">
        <v>145</v>
      </c>
      <c r="WHW15" s="94" t="s">
        <v>145</v>
      </c>
      <c r="WJC15" s="94" t="s">
        <v>145</v>
      </c>
      <c r="WKI15" s="94" t="s">
        <v>145</v>
      </c>
      <c r="WLO15" s="94" t="s">
        <v>145</v>
      </c>
      <c r="WMU15" s="94" t="s">
        <v>145</v>
      </c>
      <c r="WOA15" s="94" t="s">
        <v>145</v>
      </c>
      <c r="WPG15" s="94" t="s">
        <v>145</v>
      </c>
      <c r="WQM15" s="94" t="s">
        <v>145</v>
      </c>
      <c r="WRS15" s="94" t="s">
        <v>145</v>
      </c>
      <c r="WSY15" s="94" t="s">
        <v>145</v>
      </c>
      <c r="WUE15" s="94" t="s">
        <v>145</v>
      </c>
      <c r="WVK15" s="94" t="s">
        <v>145</v>
      </c>
      <c r="WWQ15" s="94" t="s">
        <v>145</v>
      </c>
      <c r="WXW15" s="94" t="s">
        <v>145</v>
      </c>
      <c r="WZC15" s="94" t="s">
        <v>145</v>
      </c>
      <c r="XAI15" s="94" t="s">
        <v>145</v>
      </c>
      <c r="XBO15" s="94" t="s">
        <v>145</v>
      </c>
      <c r="XCU15" s="94" t="s">
        <v>145</v>
      </c>
      <c r="XEA15" s="94" t="s">
        <v>145</v>
      </c>
    </row>
    <row r="16" spans="2:1007 1026:2031 2050:3055 3074:4079 4098:5103 5122:6127 6146:7151 7170:8175 8194:9199 9218:10223 10242:11247 11266:12271 12290:13295 13314:14319 14338:15343 15362:16367" s="94" customFormat="1"/>
    <row r="19" spans="1:9">
      <c r="A19" s="1" t="s">
        <v>0</v>
      </c>
      <c r="C19" t="s">
        <v>59</v>
      </c>
      <c r="D19">
        <v>6</v>
      </c>
    </row>
    <row r="20" spans="1:9">
      <c r="B20" s="58"/>
      <c r="C20" s="59" t="s">
        <v>60</v>
      </c>
      <c r="D20" s="60" t="s">
        <v>22</v>
      </c>
      <c r="E20" s="60"/>
      <c r="F20" s="60"/>
      <c r="G20" s="60"/>
      <c r="H20" s="60"/>
      <c r="I20" s="75"/>
    </row>
    <row r="21" spans="1:9" ht="30" customHeight="1">
      <c r="B21" s="61" t="s">
        <v>61</v>
      </c>
      <c r="C21" s="62" t="s">
        <v>62</v>
      </c>
      <c r="D21" s="46" t="s">
        <v>63</v>
      </c>
      <c r="E21" s="63" t="s">
        <v>64</v>
      </c>
      <c r="F21" s="63" t="s">
        <v>65</v>
      </c>
      <c r="G21" s="63" t="s">
        <v>66</v>
      </c>
      <c r="H21" s="63" t="s">
        <v>67</v>
      </c>
      <c r="I21" s="82" t="s">
        <v>68</v>
      </c>
    </row>
    <row r="22" spans="1:9">
      <c r="B22" s="64" t="s">
        <v>2</v>
      </c>
      <c r="C22" s="53">
        <v>3.1</v>
      </c>
      <c r="D22" s="16">
        <v>3.4</v>
      </c>
      <c r="E22" s="65">
        <f>C22-$C$29</f>
        <v>0.73333333333333339</v>
      </c>
      <c r="F22" s="65">
        <f>D22-$D$29</f>
        <v>0.63333333333333375</v>
      </c>
      <c r="G22" s="66">
        <f>E22^2</f>
        <v>0.53777777777777791</v>
      </c>
      <c r="H22" s="66">
        <f>F22^2</f>
        <v>0.40111111111111164</v>
      </c>
      <c r="I22" s="83">
        <f>E22*F22</f>
        <v>0.46444444444444477</v>
      </c>
    </row>
    <row r="23" spans="1:9">
      <c r="B23" s="64" t="s">
        <v>3</v>
      </c>
      <c r="C23" s="53">
        <v>2.2000000000000002</v>
      </c>
      <c r="D23" s="16">
        <v>2.8</v>
      </c>
      <c r="E23" s="65">
        <f t="shared" ref="E23:E27" si="0">C23-$C$29</f>
        <v>-0.16666666666666652</v>
      </c>
      <c r="F23" s="65">
        <f t="shared" ref="F23:F27" si="1">D23-$D$29</f>
        <v>3.3333333333333659E-2</v>
      </c>
      <c r="G23" s="66">
        <f t="shared" ref="G23:G27" si="2">E23^2</f>
        <v>2.7777777777777728E-2</v>
      </c>
      <c r="H23" s="66">
        <f t="shared" ref="H23:H27" si="3">F23^2</f>
        <v>1.1111111111111328E-3</v>
      </c>
      <c r="I23" s="83">
        <f t="shared" ref="I23:I27" si="4">E23*F23</f>
        <v>-5.5555555555556052E-3</v>
      </c>
    </row>
    <row r="24" spans="1:9">
      <c r="B24" s="64" t="s">
        <v>69</v>
      </c>
      <c r="C24" s="53">
        <v>2.1</v>
      </c>
      <c r="D24" s="16">
        <v>2.1</v>
      </c>
      <c r="E24" s="65">
        <f t="shared" si="0"/>
        <v>-0.26666666666666661</v>
      </c>
      <c r="F24" s="65">
        <f t="shared" si="1"/>
        <v>-0.66666666666666607</v>
      </c>
      <c r="G24" s="66">
        <f t="shared" si="2"/>
        <v>7.1111111111111083E-2</v>
      </c>
      <c r="H24" s="66">
        <f t="shared" si="3"/>
        <v>0.44444444444444364</v>
      </c>
      <c r="I24" s="83">
        <f t="shared" si="4"/>
        <v>0.17777777777777759</v>
      </c>
    </row>
    <row r="25" spans="1:9">
      <c r="B25" s="64" t="s">
        <v>70</v>
      </c>
      <c r="C25" s="53">
        <v>1.5</v>
      </c>
      <c r="D25" s="16">
        <v>1.9</v>
      </c>
      <c r="E25" s="65">
        <f t="shared" si="0"/>
        <v>-0.8666666666666667</v>
      </c>
      <c r="F25" s="65">
        <f t="shared" si="1"/>
        <v>-0.86666666666666625</v>
      </c>
      <c r="G25" s="66">
        <f t="shared" si="2"/>
        <v>0.75111111111111117</v>
      </c>
      <c r="H25" s="66">
        <f t="shared" si="3"/>
        <v>0.7511111111111104</v>
      </c>
      <c r="I25" s="83">
        <f t="shared" si="4"/>
        <v>0.75111111111111073</v>
      </c>
    </row>
    <row r="26" spans="1:9">
      <c r="B26" s="64" t="s">
        <v>71</v>
      </c>
      <c r="C26" s="53">
        <v>2</v>
      </c>
      <c r="D26" s="16">
        <v>2.5</v>
      </c>
      <c r="E26" s="65">
        <f t="shared" si="0"/>
        <v>-0.3666666666666667</v>
      </c>
      <c r="F26" s="65">
        <f t="shared" si="1"/>
        <v>-0.26666666666666616</v>
      </c>
      <c r="G26" s="66">
        <f t="shared" si="2"/>
        <v>0.13444444444444448</v>
      </c>
      <c r="H26" s="66">
        <f t="shared" si="3"/>
        <v>7.1111111111110847E-2</v>
      </c>
      <c r="I26" s="83">
        <f t="shared" si="4"/>
        <v>9.7777777777777602E-2</v>
      </c>
    </row>
    <row r="27" spans="1:9">
      <c r="B27" s="64" t="s">
        <v>37</v>
      </c>
      <c r="C27" s="53">
        <v>3.3</v>
      </c>
      <c r="D27" s="16">
        <v>3.9</v>
      </c>
      <c r="E27" s="65">
        <f t="shared" si="0"/>
        <v>0.93333333333333313</v>
      </c>
      <c r="F27" s="65">
        <f t="shared" si="1"/>
        <v>1.1333333333333337</v>
      </c>
      <c r="G27" s="66">
        <f t="shared" si="2"/>
        <v>0.87111111111111073</v>
      </c>
      <c r="H27" s="66">
        <f t="shared" si="3"/>
        <v>1.2844444444444454</v>
      </c>
      <c r="I27" s="83">
        <f t="shared" si="4"/>
        <v>1.0577777777777779</v>
      </c>
    </row>
    <row r="28" spans="1:9">
      <c r="B28" s="114" t="s">
        <v>72</v>
      </c>
      <c r="C28" s="67">
        <f t="shared" ref="C28:I28" si="5">SUM(C22:C27)</f>
        <v>14.2</v>
      </c>
      <c r="D28" s="68">
        <f t="shared" si="5"/>
        <v>16.599999999999998</v>
      </c>
      <c r="E28" s="69">
        <f t="shared" si="5"/>
        <v>0</v>
      </c>
      <c r="F28" s="69">
        <f t="shared" si="5"/>
        <v>2.6645352591003757E-15</v>
      </c>
      <c r="G28" s="70">
        <f t="shared" si="5"/>
        <v>2.3933333333333335</v>
      </c>
      <c r="H28" s="70">
        <f t="shared" si="5"/>
        <v>2.9533333333333331</v>
      </c>
      <c r="I28" s="84">
        <f t="shared" si="5"/>
        <v>2.543333333333333</v>
      </c>
    </row>
    <row r="29" spans="1:9">
      <c r="B29" s="115" t="s">
        <v>73</v>
      </c>
      <c r="C29" s="71">
        <f>C28/D19</f>
        <v>2.3666666666666667</v>
      </c>
      <c r="D29" s="72">
        <f>D28/D19</f>
        <v>2.7666666666666662</v>
      </c>
    </row>
    <row r="30" spans="1:9">
      <c r="B30" s="116" t="s">
        <v>74</v>
      </c>
      <c r="C30" s="73">
        <f>G28/D19</f>
        <v>0.3988888888888889</v>
      </c>
      <c r="D30" s="74">
        <f>H28/D19</f>
        <v>0.49222222222222217</v>
      </c>
    </row>
    <row r="31" spans="1:9">
      <c r="B31" s="116" t="s">
        <v>75</v>
      </c>
      <c r="C31" s="73">
        <f>SQRT(C30)</f>
        <v>0.63157651071654719</v>
      </c>
      <c r="D31" s="74">
        <f>SQRT(D30)</f>
        <v>0.70158550599497294</v>
      </c>
    </row>
    <row r="32" spans="1:9">
      <c r="B32" s="116" t="s">
        <v>76</v>
      </c>
      <c r="C32" s="150">
        <f>I28/D19</f>
        <v>0.42388888888888882</v>
      </c>
      <c r="D32" s="151"/>
    </row>
    <row r="33" spans="2:8">
      <c r="B33" s="116" t="s">
        <v>77</v>
      </c>
      <c r="C33" s="152">
        <f>C32/(C31*D31)</f>
        <v>0.95663321295729653</v>
      </c>
      <c r="D33" s="153"/>
      <c r="F33" s="117" t="s">
        <v>52</v>
      </c>
      <c r="G33" s="118" t="s">
        <v>78</v>
      </c>
    </row>
    <row r="34" spans="2:8">
      <c r="B34" s="116" t="s">
        <v>79</v>
      </c>
      <c r="C34" s="152">
        <f>C33^2</f>
        <v>0.91514710413300027</v>
      </c>
      <c r="D34" s="153"/>
      <c r="F34" s="119" t="s">
        <v>80</v>
      </c>
      <c r="G34" s="120">
        <f>C35</f>
        <v>1.0626740947075206</v>
      </c>
    </row>
    <row r="35" spans="2:8">
      <c r="B35" s="116" t="s">
        <v>81</v>
      </c>
      <c r="C35" s="150">
        <f>C32/C30</f>
        <v>1.0626740947075206</v>
      </c>
      <c r="D35" s="151"/>
      <c r="F35" s="119" t="s">
        <v>82</v>
      </c>
      <c r="G35" s="121">
        <v>3.6</v>
      </c>
    </row>
    <row r="36" spans="2:8">
      <c r="B36" s="114" t="s">
        <v>83</v>
      </c>
      <c r="C36" s="154">
        <f>D30-C35*C30</f>
        <v>6.8333333333333357E-2</v>
      </c>
      <c r="D36" s="155"/>
      <c r="F36" s="122" t="s">
        <v>84</v>
      </c>
      <c r="G36" s="123">
        <f>C36</f>
        <v>6.8333333333333357E-2</v>
      </c>
    </row>
    <row r="37" spans="2:8">
      <c r="F37" s="124" t="s">
        <v>22</v>
      </c>
      <c r="G37" s="125">
        <f>G34*G35+G36</f>
        <v>3.8939600742804075</v>
      </c>
    </row>
    <row r="40" spans="2:8">
      <c r="B40" s="144" t="s">
        <v>85</v>
      </c>
      <c r="C40" s="145"/>
      <c r="D40" s="145"/>
      <c r="E40" s="145"/>
      <c r="F40" s="145"/>
      <c r="G40" s="145"/>
      <c r="H40" s="146"/>
    </row>
    <row r="42" spans="2:8">
      <c r="B42" s="147" t="s">
        <v>86</v>
      </c>
      <c r="C42" s="148"/>
      <c r="D42" s="148"/>
      <c r="E42" s="149"/>
    </row>
    <row r="44" spans="2:8">
      <c r="B44" s="144" t="s">
        <v>87</v>
      </c>
      <c r="C44" s="145"/>
      <c r="D44" s="145"/>
      <c r="E44" s="145"/>
      <c r="F44" s="145"/>
      <c r="G44" s="146"/>
    </row>
    <row r="49" spans="1:14">
      <c r="A49" s="94"/>
      <c r="B49" s="94" t="s">
        <v>146</v>
      </c>
      <c r="C49" s="94"/>
      <c r="D49" s="94"/>
      <c r="E49" s="94"/>
      <c r="F49" s="94"/>
      <c r="G49" s="94"/>
      <c r="H49" s="94"/>
      <c r="I49" s="94"/>
      <c r="J49" s="94"/>
      <c r="K49" s="94"/>
      <c r="L49" s="94"/>
      <c r="M49" s="94"/>
      <c r="N49" s="94"/>
    </row>
    <row r="50" spans="1:14">
      <c r="A50" s="94"/>
      <c r="B50" s="94" t="s">
        <v>147</v>
      </c>
      <c r="C50" s="94"/>
      <c r="D50" s="94"/>
      <c r="E50" s="94"/>
      <c r="F50" s="94"/>
      <c r="G50" s="94"/>
      <c r="H50" s="94"/>
      <c r="I50" s="94"/>
      <c r="J50" s="94"/>
      <c r="K50" s="94"/>
      <c r="L50" s="94"/>
      <c r="M50" s="94"/>
      <c r="N50" s="94"/>
    </row>
    <row r="51" spans="1:14">
      <c r="A51" s="94"/>
      <c r="B51" s="94" t="s">
        <v>148</v>
      </c>
      <c r="C51" s="94"/>
      <c r="D51" s="94"/>
      <c r="E51" s="94"/>
      <c r="F51" s="94"/>
      <c r="G51" s="94"/>
      <c r="H51" s="94"/>
      <c r="I51" s="94"/>
      <c r="J51" s="94"/>
      <c r="K51" s="94"/>
      <c r="L51" s="94"/>
      <c r="M51" s="94"/>
      <c r="N51" s="94"/>
    </row>
    <row r="52" spans="1:14">
      <c r="A52" s="94"/>
      <c r="B52" s="94" t="s">
        <v>149</v>
      </c>
      <c r="C52" s="94"/>
      <c r="D52" s="94"/>
      <c r="E52" s="94"/>
      <c r="F52" s="94"/>
      <c r="G52" s="94"/>
      <c r="H52" s="94"/>
      <c r="I52" s="94"/>
      <c r="J52" s="94"/>
      <c r="K52" s="94"/>
      <c r="L52" s="94"/>
      <c r="M52" s="94"/>
      <c r="N52" s="94"/>
    </row>
    <row r="54" spans="1:14">
      <c r="A54" s="1" t="s">
        <v>17</v>
      </c>
    </row>
    <row r="56" spans="1:14" ht="15" thickBot="1"/>
    <row r="57" spans="1:14">
      <c r="B57" s="59" t="s">
        <v>60</v>
      </c>
      <c r="C57" s="60" t="s">
        <v>88</v>
      </c>
      <c r="D57" s="60" t="s">
        <v>89</v>
      </c>
      <c r="E57" s="75" t="s">
        <v>90</v>
      </c>
    </row>
    <row r="58" spans="1:14">
      <c r="B58" s="53">
        <v>8</v>
      </c>
      <c r="C58" s="76">
        <v>0.5</v>
      </c>
      <c r="D58" s="77">
        <f>C58*B58</f>
        <v>4</v>
      </c>
      <c r="E58" s="20">
        <f>C58*(B58-$E$64)^2</f>
        <v>21.125</v>
      </c>
    </row>
    <row r="59" spans="1:14" ht="15" thickBot="1">
      <c r="B59" s="53">
        <v>-5</v>
      </c>
      <c r="C59" s="78">
        <v>0.5</v>
      </c>
      <c r="D59" s="79">
        <f>C59*B59</f>
        <v>-2.5</v>
      </c>
      <c r="E59" s="80">
        <f>C59*(B59-$E$64)^2</f>
        <v>21.125</v>
      </c>
    </row>
    <row r="60" spans="1:14" ht="26.05" customHeight="1" thickBot="1">
      <c r="B60" s="81"/>
      <c r="C60" s="126">
        <f>SUM(C58:C59)</f>
        <v>1</v>
      </c>
      <c r="D60" s="127">
        <f>SUM(D58:D59)</f>
        <v>1.5</v>
      </c>
      <c r="E60" s="128">
        <f>SUM(E58:E59)</f>
        <v>42.25</v>
      </c>
    </row>
    <row r="64" spans="1:14">
      <c r="D64" s="129" t="s">
        <v>91</v>
      </c>
      <c r="E64" s="130">
        <f>D60</f>
        <v>1.5</v>
      </c>
    </row>
    <row r="65" spans="4:5">
      <c r="D65" s="119" t="s">
        <v>92</v>
      </c>
      <c r="E65" s="121">
        <f>E60</f>
        <v>42.25</v>
      </c>
    </row>
    <row r="66" spans="4:5" ht="15" thickBot="1">
      <c r="D66" s="122" t="s">
        <v>93</v>
      </c>
      <c r="E66" s="131">
        <f>SQRT(E65)</f>
        <v>6.5</v>
      </c>
    </row>
  </sheetData>
  <mergeCells count="8">
    <mergeCell ref="B40:H40"/>
    <mergeCell ref="B42:E42"/>
    <mergeCell ref="B44:G44"/>
    <mergeCell ref="C32:D32"/>
    <mergeCell ref="C33:D33"/>
    <mergeCell ref="C34:D34"/>
    <mergeCell ref="C35:D35"/>
    <mergeCell ref="C36:D36"/>
  </mergeCell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82"/>
  <sheetViews>
    <sheetView workbookViewId="0">
      <selection activeCell="A25" sqref="A25"/>
    </sheetView>
  </sheetViews>
  <sheetFormatPr defaultColWidth="9" defaultRowHeight="14.6"/>
  <cols>
    <col min="3" max="3" width="16.15234375" customWidth="1"/>
    <col min="4" max="4" width="13.15234375" customWidth="1"/>
    <col min="5" max="5" width="13.4609375" customWidth="1"/>
    <col min="6" max="6" width="13.69140625" customWidth="1"/>
    <col min="8" max="9" width="10.4609375" customWidth="1"/>
    <col min="10" max="11" width="12" customWidth="1"/>
  </cols>
  <sheetData>
    <row r="1" spans="1:14">
      <c r="A1" s="94"/>
      <c r="B1" s="94" t="s">
        <v>124</v>
      </c>
      <c r="C1" s="94"/>
      <c r="D1" s="94"/>
      <c r="E1" s="94"/>
      <c r="F1" s="94"/>
      <c r="G1" s="94"/>
      <c r="H1" s="94"/>
      <c r="I1" s="94"/>
      <c r="J1" s="94"/>
      <c r="K1" s="94"/>
      <c r="L1" s="94"/>
      <c r="M1" s="94"/>
      <c r="N1" s="94"/>
    </row>
    <row r="2" spans="1:14">
      <c r="A2" s="94"/>
      <c r="B2" s="94"/>
      <c r="C2" s="94"/>
      <c r="D2" s="94"/>
      <c r="E2" s="94"/>
      <c r="F2" s="94"/>
      <c r="G2" s="94"/>
      <c r="H2" s="94"/>
      <c r="I2" s="94"/>
      <c r="J2" s="94"/>
      <c r="K2" s="94"/>
      <c r="L2" s="94"/>
      <c r="M2" s="94"/>
      <c r="N2" s="94"/>
    </row>
    <row r="3" spans="1:14">
      <c r="A3" s="94"/>
      <c r="B3" s="94" t="s">
        <v>150</v>
      </c>
      <c r="C3" s="94"/>
      <c r="D3" s="94"/>
      <c r="E3" s="94"/>
      <c r="F3" s="94"/>
      <c r="G3" s="94"/>
      <c r="H3" s="94"/>
      <c r="I3" s="94"/>
      <c r="J3" s="94"/>
      <c r="K3" s="94"/>
      <c r="L3" s="94"/>
      <c r="M3" s="94"/>
      <c r="N3" s="94"/>
    </row>
    <row r="4" spans="1:14">
      <c r="A4" s="94"/>
      <c r="B4" s="94" t="s">
        <v>151</v>
      </c>
      <c r="C4" s="94"/>
      <c r="D4" s="94"/>
      <c r="E4" s="94"/>
      <c r="F4" s="94"/>
      <c r="G4" s="94"/>
      <c r="H4" s="94"/>
      <c r="I4" s="94"/>
      <c r="J4" s="94"/>
      <c r="K4" s="94"/>
      <c r="L4" s="94"/>
      <c r="M4" s="94"/>
      <c r="N4" s="94"/>
    </row>
    <row r="5" spans="1:14">
      <c r="A5" s="94"/>
      <c r="B5" s="94" t="s">
        <v>152</v>
      </c>
      <c r="C5" s="94"/>
      <c r="D5" s="94"/>
      <c r="E5" s="94"/>
      <c r="F5" s="94"/>
      <c r="G5" s="94"/>
      <c r="H5" s="94"/>
      <c r="I5" s="94"/>
      <c r="J5" s="94"/>
      <c r="K5" s="94"/>
      <c r="L5" s="94"/>
      <c r="M5" s="94"/>
      <c r="N5" s="94"/>
    </row>
    <row r="8" spans="1:14">
      <c r="A8" s="1" t="s">
        <v>0</v>
      </c>
    </row>
    <row r="11" spans="1:14">
      <c r="B11" s="158" t="s">
        <v>94</v>
      </c>
      <c r="C11" s="158"/>
      <c r="D11" s="158"/>
      <c r="E11" s="158"/>
      <c r="F11" s="158"/>
      <c r="G11" s="43">
        <v>0.4032</v>
      </c>
    </row>
    <row r="12" spans="1:14">
      <c r="B12" s="158" t="s">
        <v>95</v>
      </c>
      <c r="C12" s="158"/>
      <c r="D12" s="158"/>
      <c r="E12" s="158"/>
      <c r="F12" s="158"/>
      <c r="G12" s="43">
        <v>0.1232</v>
      </c>
    </row>
    <row r="13" spans="1:14">
      <c r="B13" s="16" t="s">
        <v>96</v>
      </c>
      <c r="C13" s="16"/>
      <c r="D13" s="16"/>
      <c r="E13" s="16"/>
      <c r="F13" s="16"/>
      <c r="G13" s="44"/>
    </row>
    <row r="14" spans="1:14">
      <c r="B14" s="159" t="s">
        <v>97</v>
      </c>
      <c r="C14" s="158"/>
      <c r="D14" s="158"/>
      <c r="E14" s="158"/>
      <c r="F14" s="158"/>
      <c r="G14" s="132">
        <f>1-G11</f>
        <v>0.5968</v>
      </c>
    </row>
    <row r="15" spans="1:14">
      <c r="B15" s="160" t="s">
        <v>98</v>
      </c>
      <c r="C15" s="160"/>
      <c r="D15" s="160"/>
      <c r="E15" s="160"/>
    </row>
    <row r="16" spans="1:14">
      <c r="B16" s="161" t="s">
        <v>99</v>
      </c>
      <c r="C16" s="162"/>
      <c r="D16" s="162"/>
      <c r="E16" s="162"/>
      <c r="F16" s="162"/>
      <c r="G16" s="133">
        <f>G14-G12</f>
        <v>0.47360000000000002</v>
      </c>
    </row>
    <row r="18" spans="1:20">
      <c r="A18" s="94"/>
      <c r="B18" s="94" t="s">
        <v>128</v>
      </c>
      <c r="C18" s="94"/>
      <c r="D18" s="94"/>
      <c r="E18" s="94"/>
      <c r="F18" s="94"/>
      <c r="G18" s="94"/>
      <c r="H18" s="94"/>
      <c r="I18" s="94"/>
      <c r="J18" s="94"/>
      <c r="K18" s="94"/>
      <c r="L18" s="94"/>
      <c r="M18" s="94"/>
      <c r="N18" s="94"/>
      <c r="O18" s="94"/>
      <c r="P18" s="94"/>
      <c r="Q18" s="94"/>
      <c r="R18" s="94"/>
      <c r="S18" s="94"/>
      <c r="T18" s="94"/>
    </row>
    <row r="19" spans="1:20" ht="15" thickBot="1">
      <c r="A19" s="94"/>
      <c r="B19" s="94"/>
      <c r="C19" s="94"/>
      <c r="D19" s="94"/>
      <c r="E19" s="94"/>
      <c r="F19" s="94"/>
      <c r="G19" s="94"/>
      <c r="H19" s="94"/>
      <c r="I19" s="94"/>
      <c r="J19" s="94"/>
      <c r="K19" s="94"/>
      <c r="L19" s="94"/>
      <c r="M19" s="94"/>
      <c r="N19" s="94"/>
      <c r="O19" s="94"/>
      <c r="P19" s="94"/>
      <c r="Q19" s="94"/>
      <c r="R19" s="94"/>
      <c r="S19" s="94"/>
      <c r="T19" s="94"/>
    </row>
    <row r="20" spans="1:20">
      <c r="A20" s="94"/>
      <c r="B20" s="94"/>
      <c r="C20" s="163" t="s">
        <v>129</v>
      </c>
      <c r="D20" s="156">
        <v>194</v>
      </c>
      <c r="E20" s="156">
        <v>199</v>
      </c>
      <c r="F20" s="156">
        <v>202</v>
      </c>
      <c r="G20" s="156">
        <v>210</v>
      </c>
      <c r="H20" s="156">
        <v>212</v>
      </c>
      <c r="I20" s="156">
        <v>220</v>
      </c>
      <c r="J20" s="156">
        <v>225</v>
      </c>
      <c r="K20" s="94"/>
      <c r="L20" s="94"/>
      <c r="M20" s="94"/>
      <c r="N20" s="94"/>
      <c r="O20" s="94"/>
      <c r="P20" s="94"/>
      <c r="Q20" s="94"/>
      <c r="R20" s="94"/>
      <c r="S20" s="94"/>
      <c r="T20" s="94"/>
    </row>
    <row r="21" spans="1:20" ht="15" thickBot="1">
      <c r="A21" s="94"/>
      <c r="B21" s="94"/>
      <c r="C21" s="164"/>
      <c r="D21" s="157"/>
      <c r="E21" s="157"/>
      <c r="F21" s="157"/>
      <c r="G21" s="157"/>
      <c r="H21" s="157"/>
      <c r="I21" s="157"/>
      <c r="J21" s="157"/>
      <c r="K21" s="94"/>
      <c r="L21" s="94"/>
      <c r="M21" s="94"/>
      <c r="N21" s="94"/>
      <c r="O21" s="94"/>
      <c r="P21" s="94"/>
      <c r="Q21" s="94"/>
      <c r="R21" s="94"/>
      <c r="S21" s="94"/>
      <c r="T21" s="94"/>
    </row>
    <row r="22" spans="1:20" ht="75.45" thickBot="1">
      <c r="A22" s="94"/>
      <c r="B22" s="94"/>
      <c r="C22" s="98" t="s">
        <v>130</v>
      </c>
      <c r="D22" s="100">
        <v>565</v>
      </c>
      <c r="E22" s="100">
        <v>488</v>
      </c>
      <c r="F22" s="100">
        <v>592</v>
      </c>
      <c r="G22" s="100">
        <v>612</v>
      </c>
      <c r="H22" s="100">
        <v>741</v>
      </c>
      <c r="I22" s="100">
        <v>774</v>
      </c>
      <c r="J22" s="100">
        <v>806</v>
      </c>
      <c r="K22" s="94"/>
      <c r="L22" s="94"/>
      <c r="M22" s="94"/>
      <c r="N22" s="94"/>
      <c r="O22" s="94"/>
      <c r="P22" s="94"/>
      <c r="Q22" s="94"/>
      <c r="R22" s="94"/>
      <c r="S22" s="94"/>
      <c r="T22" s="94"/>
    </row>
    <row r="23" spans="1:20" ht="45.45" thickBot="1">
      <c r="A23" s="94"/>
      <c r="B23" s="94"/>
      <c r="C23" s="98" t="s">
        <v>131</v>
      </c>
      <c r="D23" s="101">
        <v>0.11799999999999999</v>
      </c>
      <c r="E23" s="101">
        <v>0.13100000000000001</v>
      </c>
      <c r="F23" s="101">
        <v>0.124</v>
      </c>
      <c r="G23" s="101">
        <v>0.14199999999999999</v>
      </c>
      <c r="H23" s="101">
        <v>0.14899999999999999</v>
      </c>
      <c r="I23" s="101">
        <v>0.13900000000000001</v>
      </c>
      <c r="J23" s="101">
        <v>0.125</v>
      </c>
      <c r="K23" s="94"/>
      <c r="L23" s="94"/>
      <c r="M23" s="94"/>
      <c r="N23" s="94"/>
      <c r="O23" s="94"/>
      <c r="P23" s="94"/>
      <c r="Q23" s="94"/>
      <c r="R23" s="94"/>
      <c r="S23" s="94"/>
      <c r="T23" s="94"/>
    </row>
    <row r="24" spans="1:20" ht="30.45" thickBot="1">
      <c r="A24" s="94"/>
      <c r="B24" s="94"/>
      <c r="C24" s="98" t="s">
        <v>132</v>
      </c>
      <c r="D24" s="101">
        <v>8.2000000000000003E-2</v>
      </c>
      <c r="E24" s="102">
        <v>6.9000000000000006E-2</v>
      </c>
      <c r="F24" s="101">
        <v>7.6999999999999999E-2</v>
      </c>
      <c r="G24" s="101">
        <v>6.5000000000000002E-2</v>
      </c>
      <c r="H24" s="101">
        <v>6.2E-2</v>
      </c>
      <c r="I24" s="101">
        <v>7.0999999999999994E-2</v>
      </c>
      <c r="J24" s="101">
        <v>7.8E-2</v>
      </c>
      <c r="K24" s="94"/>
      <c r="L24" s="94"/>
      <c r="M24" s="94"/>
      <c r="N24" s="94"/>
      <c r="O24" s="94"/>
      <c r="P24" s="94"/>
      <c r="Q24" s="94"/>
      <c r="R24" s="94"/>
      <c r="S24" s="94"/>
      <c r="T24" s="94"/>
    </row>
    <row r="25" spans="1:20">
      <c r="A25" s="94"/>
      <c r="B25" s="94"/>
      <c r="C25" s="94"/>
      <c r="D25" s="94"/>
      <c r="E25" s="94"/>
      <c r="F25" s="94"/>
      <c r="G25" s="94"/>
      <c r="H25" s="94"/>
      <c r="I25" s="94"/>
      <c r="J25" s="94"/>
      <c r="K25" s="94"/>
      <c r="L25" s="94"/>
      <c r="M25" s="94"/>
      <c r="N25" s="94"/>
      <c r="O25" s="94"/>
      <c r="P25" s="94"/>
      <c r="Q25" s="94"/>
      <c r="R25" s="94"/>
      <c r="S25" s="94"/>
      <c r="T25" s="94"/>
    </row>
    <row r="26" spans="1:20">
      <c r="A26" s="94"/>
      <c r="B26" s="94"/>
      <c r="C26" s="94" t="s">
        <v>133</v>
      </c>
      <c r="D26" s="94"/>
      <c r="E26" s="94"/>
      <c r="F26" s="94"/>
      <c r="G26" s="94"/>
      <c r="H26" s="94"/>
      <c r="I26" s="94"/>
      <c r="J26" s="94"/>
      <c r="K26" s="94"/>
      <c r="L26" s="94"/>
      <c r="M26" s="94"/>
      <c r="N26" s="94"/>
      <c r="O26" s="94"/>
      <c r="P26" s="94"/>
      <c r="Q26" s="94"/>
      <c r="R26" s="94"/>
      <c r="S26" s="94"/>
      <c r="T26" s="94"/>
    </row>
    <row r="27" spans="1:20">
      <c r="A27" s="94"/>
      <c r="B27" s="94"/>
      <c r="C27" s="94" t="s">
        <v>134</v>
      </c>
      <c r="D27" s="94"/>
      <c r="E27" s="94"/>
      <c r="F27" s="94"/>
      <c r="G27" s="94"/>
      <c r="H27" s="94"/>
      <c r="I27" s="94"/>
      <c r="J27" s="94"/>
      <c r="K27" s="94"/>
      <c r="L27" s="94"/>
      <c r="M27" s="94"/>
      <c r="N27" s="94"/>
      <c r="O27" s="94"/>
      <c r="P27" s="94"/>
      <c r="Q27" s="94"/>
      <c r="R27" s="94"/>
      <c r="S27" s="94"/>
      <c r="T27" s="94"/>
    </row>
    <row r="28" spans="1:20">
      <c r="A28" s="94"/>
      <c r="B28" s="94"/>
      <c r="C28" s="94" t="s">
        <v>135</v>
      </c>
      <c r="D28" s="94"/>
      <c r="E28" s="94"/>
      <c r="F28" s="94"/>
      <c r="G28" s="94"/>
      <c r="H28" s="94"/>
      <c r="I28" s="94"/>
      <c r="J28" s="94"/>
      <c r="K28" s="94"/>
      <c r="L28" s="94"/>
      <c r="M28" s="94"/>
      <c r="N28" s="94"/>
      <c r="O28" s="94"/>
      <c r="P28" s="94"/>
      <c r="Q28" s="94"/>
      <c r="R28" s="94"/>
      <c r="S28" s="94"/>
      <c r="T28" s="94"/>
    </row>
    <row r="29" spans="1:20">
      <c r="A29" s="94"/>
      <c r="B29" s="94"/>
      <c r="C29" s="94" t="s">
        <v>136</v>
      </c>
      <c r="D29" s="94"/>
      <c r="E29" s="94"/>
      <c r="F29" s="94"/>
      <c r="G29" s="94"/>
      <c r="H29" s="94"/>
      <c r="I29" s="94"/>
      <c r="J29" s="94"/>
      <c r="K29" s="94"/>
      <c r="L29" s="94"/>
      <c r="M29" s="94"/>
      <c r="N29" s="94"/>
      <c r="O29" s="94"/>
      <c r="P29" s="94"/>
      <c r="Q29" s="94"/>
      <c r="R29" s="94"/>
      <c r="S29" s="94"/>
      <c r="T29" s="94"/>
    </row>
    <row r="30" spans="1:20">
      <c r="A30" s="94"/>
      <c r="B30" s="94"/>
      <c r="C30" s="94" t="s">
        <v>153</v>
      </c>
      <c r="D30" s="94"/>
      <c r="E30" s="94"/>
      <c r="F30" s="94"/>
      <c r="G30" s="94"/>
      <c r="H30" s="94"/>
      <c r="I30" s="94"/>
      <c r="J30" s="94"/>
      <c r="K30" s="94"/>
      <c r="L30" s="94"/>
      <c r="M30" s="94"/>
      <c r="N30" s="94"/>
      <c r="O30" s="94"/>
      <c r="P30" s="94"/>
      <c r="Q30" s="94"/>
      <c r="R30" s="94"/>
      <c r="S30" s="94"/>
      <c r="T30" s="94"/>
    </row>
    <row r="31" spans="1:20">
      <c r="A31" s="94"/>
      <c r="B31" s="94"/>
      <c r="C31" s="94" t="s">
        <v>154</v>
      </c>
      <c r="D31" s="94"/>
      <c r="E31" s="94"/>
      <c r="F31" s="94"/>
      <c r="G31" s="94"/>
      <c r="H31" s="94"/>
      <c r="I31" s="94"/>
      <c r="J31" s="94"/>
      <c r="K31" s="94"/>
      <c r="L31" s="94"/>
      <c r="M31" s="94"/>
      <c r="N31" s="94"/>
      <c r="O31" s="94"/>
      <c r="P31" s="94"/>
      <c r="Q31" s="94"/>
      <c r="R31" s="94"/>
      <c r="S31" s="94"/>
      <c r="T31" s="94"/>
    </row>
    <row r="34" spans="1:6">
      <c r="A34" s="1" t="s">
        <v>17</v>
      </c>
    </row>
    <row r="36" spans="1:6" ht="58.3">
      <c r="C36" s="46" t="s">
        <v>18</v>
      </c>
      <c r="D36" s="46" t="s">
        <v>19</v>
      </c>
      <c r="E36" s="46" t="s">
        <v>20</v>
      </c>
      <c r="F36" s="46" t="s">
        <v>21</v>
      </c>
    </row>
    <row r="37" spans="1:6">
      <c r="C37" s="46" t="s">
        <v>22</v>
      </c>
      <c r="D37" s="46" t="s">
        <v>23</v>
      </c>
      <c r="E37" s="46" t="s">
        <v>24</v>
      </c>
      <c r="F37" s="46" t="s">
        <v>25</v>
      </c>
    </row>
    <row r="38" spans="1:6">
      <c r="C38" s="47">
        <v>194</v>
      </c>
      <c r="D38" s="47">
        <v>565</v>
      </c>
      <c r="E38" s="48">
        <v>0.11799999999999999</v>
      </c>
      <c r="F38" s="48">
        <v>8.2000000000000003E-2</v>
      </c>
    </row>
    <row r="39" spans="1:6">
      <c r="C39" s="47">
        <v>199</v>
      </c>
      <c r="D39" s="47">
        <v>488</v>
      </c>
      <c r="E39" s="48">
        <v>0.13100000000000001</v>
      </c>
      <c r="F39" s="48">
        <v>6.9000000000000006E-2</v>
      </c>
    </row>
    <row r="40" spans="1:6">
      <c r="C40" s="47">
        <v>202</v>
      </c>
      <c r="D40" s="47">
        <v>592</v>
      </c>
      <c r="E40" s="48">
        <v>0.124</v>
      </c>
      <c r="F40" s="48">
        <v>7.6999999999999999E-2</v>
      </c>
    </row>
    <row r="41" spans="1:6">
      <c r="C41" s="47">
        <v>210</v>
      </c>
      <c r="D41" s="47">
        <v>612</v>
      </c>
      <c r="E41" s="48">
        <v>0.14199999999999999</v>
      </c>
      <c r="F41" s="48">
        <v>6.5000000000000002E-2</v>
      </c>
    </row>
    <row r="42" spans="1:6">
      <c r="C42" s="47">
        <v>212</v>
      </c>
      <c r="D42" s="47">
        <v>741</v>
      </c>
      <c r="E42" s="48">
        <v>0.14899999999999999</v>
      </c>
      <c r="F42" s="48">
        <v>6.2E-2</v>
      </c>
    </row>
    <row r="43" spans="1:6">
      <c r="C43" s="47">
        <v>220</v>
      </c>
      <c r="D43" s="47">
        <v>774</v>
      </c>
      <c r="E43" s="48">
        <v>0.13900000000000001</v>
      </c>
      <c r="F43" s="48">
        <v>7.0999999999999994E-2</v>
      </c>
    </row>
    <row r="44" spans="1:6">
      <c r="A44" s="1"/>
      <c r="C44" s="47">
        <v>225</v>
      </c>
      <c r="D44" s="47">
        <v>806</v>
      </c>
      <c r="E44" s="48">
        <v>0.125</v>
      </c>
      <c r="F44" s="48">
        <v>7.8E-2</v>
      </c>
    </row>
    <row r="47" spans="1:6">
      <c r="C47" t="s">
        <v>26</v>
      </c>
    </row>
    <row r="49" spans="3:11">
      <c r="C49" s="49" t="s">
        <v>27</v>
      </c>
      <c r="D49" s="49"/>
    </row>
    <row r="50" spans="3:11">
      <c r="C50" t="s">
        <v>28</v>
      </c>
      <c r="D50">
        <v>0.94847548297494599</v>
      </c>
    </row>
    <row r="51" spans="3:11">
      <c r="C51" t="s">
        <v>29</v>
      </c>
      <c r="D51">
        <v>0.89960574180455599</v>
      </c>
    </row>
    <row r="52" spans="3:11">
      <c r="C52" t="s">
        <v>30</v>
      </c>
      <c r="D52">
        <v>0.79921148360911298</v>
      </c>
    </row>
    <row r="53" spans="3:11">
      <c r="C53" t="s">
        <v>31</v>
      </c>
      <c r="D53">
        <v>5.0459782153660901</v>
      </c>
    </row>
    <row r="54" spans="3:11">
      <c r="C54" s="50" t="s">
        <v>32</v>
      </c>
      <c r="D54" s="50">
        <v>7</v>
      </c>
    </row>
    <row r="56" spans="3:11">
      <c r="C56" t="s">
        <v>33</v>
      </c>
    </row>
    <row r="57" spans="3:11">
      <c r="C57" s="51"/>
      <c r="D57" s="51" t="s">
        <v>34</v>
      </c>
      <c r="E57" s="51" t="s">
        <v>35</v>
      </c>
      <c r="F57" s="51" t="s">
        <v>36</v>
      </c>
      <c r="G57" s="51" t="s">
        <v>37</v>
      </c>
      <c r="H57" s="51" t="s">
        <v>38</v>
      </c>
    </row>
    <row r="58" spans="3:11">
      <c r="C58" t="s">
        <v>39</v>
      </c>
      <c r="D58">
        <v>3</v>
      </c>
      <c r="E58">
        <v>684.47145440729503</v>
      </c>
      <c r="F58">
        <v>228.15715146909801</v>
      </c>
      <c r="G58">
        <v>8.9607290095539103</v>
      </c>
      <c r="H58">
        <v>5.2345474047899299E-2</v>
      </c>
    </row>
    <row r="59" spans="3:11">
      <c r="C59" t="s">
        <v>40</v>
      </c>
      <c r="D59">
        <v>3</v>
      </c>
      <c r="E59">
        <v>76.385688449847507</v>
      </c>
      <c r="F59">
        <v>25.461896149949201</v>
      </c>
    </row>
    <row r="60" spans="3:11">
      <c r="C60" s="50" t="s">
        <v>8</v>
      </c>
      <c r="D60" s="50">
        <v>6</v>
      </c>
      <c r="E60" s="50">
        <v>760.857142857143</v>
      </c>
      <c r="F60" s="50"/>
      <c r="G60" s="50"/>
      <c r="H60" s="50"/>
    </row>
    <row r="62" spans="3:11">
      <c r="C62" s="51"/>
      <c r="D62" s="51" t="s">
        <v>41</v>
      </c>
      <c r="E62" s="51" t="s">
        <v>31</v>
      </c>
      <c r="F62" s="51" t="s">
        <v>42</v>
      </c>
      <c r="G62" s="51" t="s">
        <v>43</v>
      </c>
      <c r="H62" s="51" t="s">
        <v>44</v>
      </c>
      <c r="I62" s="51" t="s">
        <v>45</v>
      </c>
      <c r="J62" s="51" t="s">
        <v>46</v>
      </c>
      <c r="K62" s="51" t="s">
        <v>47</v>
      </c>
    </row>
    <row r="63" spans="3:11">
      <c r="C63" t="s">
        <v>48</v>
      </c>
      <c r="D63">
        <v>470.94108175495501</v>
      </c>
      <c r="E63">
        <v>257.59390569525999</v>
      </c>
      <c r="F63">
        <v>1.8282306814823801</v>
      </c>
      <c r="G63">
        <v>0.16496047654591101</v>
      </c>
      <c r="H63">
        <v>-348.837691688527</v>
      </c>
      <c r="I63">
        <v>1290.71985519844</v>
      </c>
      <c r="J63">
        <v>-348.837691688527</v>
      </c>
      <c r="K63">
        <v>1290.71985519844</v>
      </c>
    </row>
    <row r="64" spans="3:11">
      <c r="C64" t="s">
        <v>49</v>
      </c>
      <c r="D64">
        <v>0.117624778722146</v>
      </c>
      <c r="E64">
        <v>3.2785179187027398E-2</v>
      </c>
      <c r="F64">
        <v>3.58774243847013</v>
      </c>
      <c r="G64">
        <v>3.7082344521230999E-2</v>
      </c>
      <c r="H64">
        <v>1.3287706350326001E-2</v>
      </c>
      <c r="I64">
        <v>0.22196185109396599</v>
      </c>
      <c r="J64">
        <v>1.3287706350326001E-2</v>
      </c>
      <c r="K64">
        <v>0.22196185109396599</v>
      </c>
    </row>
    <row r="65" spans="2:14">
      <c r="C65" t="s">
        <v>50</v>
      </c>
      <c r="D65">
        <v>-1380.6580800550801</v>
      </c>
      <c r="E65">
        <v>1169.7418293035</v>
      </c>
      <c r="F65">
        <v>-1.1803100867797101</v>
      </c>
      <c r="G65">
        <v>0.32294080488402899</v>
      </c>
      <c r="H65">
        <v>-5103.2986428578197</v>
      </c>
      <c r="I65">
        <v>2341.98248274767</v>
      </c>
      <c r="J65">
        <v>-5103.2986428578197</v>
      </c>
      <c r="K65">
        <v>2341.98248274767</v>
      </c>
    </row>
    <row r="66" spans="2:14">
      <c r="C66" s="50" t="s">
        <v>51</v>
      </c>
      <c r="D66" s="50">
        <v>-2166.31569639595</v>
      </c>
      <c r="E66" s="50">
        <v>1685.09178271064</v>
      </c>
      <c r="F66" s="50">
        <v>-1.28557727159004</v>
      </c>
      <c r="G66" s="50">
        <v>0.28884038456807898</v>
      </c>
      <c r="H66" s="50">
        <v>-7529.0298143473701</v>
      </c>
      <c r="I66" s="50">
        <v>3196.3984215554801</v>
      </c>
      <c r="J66" s="50">
        <v>-7529.0298143473701</v>
      </c>
      <c r="K66" s="50">
        <v>3196.3984215554801</v>
      </c>
    </row>
    <row r="69" spans="2:14">
      <c r="B69" s="45" t="s">
        <v>52</v>
      </c>
      <c r="C69" s="141" t="s">
        <v>53</v>
      </c>
      <c r="D69" s="142"/>
      <c r="E69" s="143"/>
    </row>
    <row r="71" spans="2:14">
      <c r="C71" s="52" t="s">
        <v>54</v>
      </c>
      <c r="D71" s="18">
        <v>0.117624778722146</v>
      </c>
    </row>
    <row r="72" spans="2:14">
      <c r="C72" s="53" t="s">
        <v>55</v>
      </c>
      <c r="D72" s="20">
        <v>-1380.6580800550801</v>
      </c>
    </row>
    <row r="73" spans="2:14">
      <c r="C73" s="54" t="s">
        <v>56</v>
      </c>
      <c r="D73" s="40">
        <v>-2166.31569639595</v>
      </c>
    </row>
    <row r="75" spans="2:14">
      <c r="C75" s="55" t="s">
        <v>57</v>
      </c>
      <c r="D75" s="56">
        <v>0.94840000000000002</v>
      </c>
      <c r="F75" s="134" t="s">
        <v>58</v>
      </c>
      <c r="G75" s="135"/>
      <c r="H75" s="135"/>
      <c r="I75" s="135"/>
      <c r="J75" s="135"/>
      <c r="K75" s="135"/>
      <c r="L75" s="135"/>
      <c r="M75" s="135"/>
      <c r="N75" s="136"/>
    </row>
    <row r="77" spans="2:14">
      <c r="C77" s="52" t="s">
        <v>22</v>
      </c>
      <c r="D77" s="18">
        <v>250</v>
      </c>
    </row>
    <row r="78" spans="2:14">
      <c r="C78" s="53" t="s">
        <v>23</v>
      </c>
      <c r="D78" s="20">
        <v>900</v>
      </c>
    </row>
    <row r="79" spans="2:14">
      <c r="C79" s="54" t="s">
        <v>24</v>
      </c>
      <c r="D79" s="57">
        <v>0.1</v>
      </c>
    </row>
    <row r="82" spans="3:4">
      <c r="C82" s="55" t="s">
        <v>25</v>
      </c>
      <c r="D82" s="103">
        <f>(D77-(D78*D71)-(D79*D72))/D73</f>
        <v>-0.13026887430353395</v>
      </c>
    </row>
  </sheetData>
  <mergeCells count="14">
    <mergeCell ref="B11:F11"/>
    <mergeCell ref="B12:F12"/>
    <mergeCell ref="B14:F14"/>
    <mergeCell ref="B15:E15"/>
    <mergeCell ref="B16:F16"/>
    <mergeCell ref="G20:G21"/>
    <mergeCell ref="H20:H21"/>
    <mergeCell ref="I20:I21"/>
    <mergeCell ref="J20:J21"/>
    <mergeCell ref="C69:E69"/>
    <mergeCell ref="C20:C21"/>
    <mergeCell ref="D20:D21"/>
    <mergeCell ref="E20:E21"/>
    <mergeCell ref="F20:F21"/>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284"/>
  <sheetViews>
    <sheetView tabSelected="1" topLeftCell="A256" zoomScale="55" zoomScaleNormal="55" workbookViewId="0">
      <selection activeCell="B19" sqref="B19"/>
    </sheetView>
  </sheetViews>
  <sheetFormatPr defaultColWidth="9" defaultRowHeight="14.6"/>
  <cols>
    <col min="2" max="2" width="38.61328125" customWidth="1"/>
    <col min="3" max="3" width="22.4609375" customWidth="1"/>
    <col min="4" max="4" width="18.69140625" customWidth="1"/>
    <col min="5" max="5" width="27.4609375" customWidth="1"/>
    <col min="7" max="7" width="12.84375"/>
    <col min="8" max="8" width="11.84375" customWidth="1"/>
    <col min="9" max="9" width="9.3046875" customWidth="1"/>
    <col min="10" max="10" width="14" customWidth="1"/>
  </cols>
  <sheetData>
    <row r="1" spans="1:29">
      <c r="A1" s="95"/>
      <c r="B1" s="95" t="s">
        <v>124</v>
      </c>
      <c r="C1" s="95"/>
      <c r="D1" s="95"/>
      <c r="E1" s="95"/>
      <c r="F1" s="95"/>
      <c r="G1" s="95"/>
      <c r="H1" s="95"/>
      <c r="I1" s="95"/>
      <c r="J1" s="95"/>
      <c r="K1" s="95"/>
      <c r="L1" s="95"/>
      <c r="M1" s="95"/>
      <c r="N1" s="95"/>
      <c r="O1" s="95"/>
      <c r="P1" s="95"/>
      <c r="Q1" s="95"/>
      <c r="R1" s="95"/>
      <c r="S1" s="95"/>
      <c r="T1" s="95"/>
      <c r="U1" s="95"/>
      <c r="V1" s="95"/>
      <c r="W1" s="95"/>
      <c r="X1" s="95"/>
      <c r="Y1" s="95"/>
      <c r="Z1" s="95"/>
      <c r="AA1" s="95"/>
      <c r="AB1" s="95"/>
      <c r="AC1" s="95"/>
    </row>
    <row r="2" spans="1:29">
      <c r="A2" s="95"/>
      <c r="B2" s="95"/>
      <c r="C2" s="95"/>
      <c r="D2" s="95"/>
      <c r="E2" s="95"/>
      <c r="F2" s="95"/>
      <c r="G2" s="95"/>
      <c r="H2" s="95"/>
      <c r="I2" s="95"/>
      <c r="J2" s="95"/>
      <c r="K2" s="95"/>
      <c r="L2" s="95"/>
      <c r="M2" s="95"/>
      <c r="N2" s="95"/>
      <c r="O2" s="95"/>
      <c r="P2" s="95"/>
      <c r="Q2" s="95"/>
      <c r="R2" s="95"/>
      <c r="S2" s="95"/>
      <c r="T2" s="95"/>
      <c r="U2" s="95"/>
      <c r="V2" s="95"/>
      <c r="W2" s="95"/>
      <c r="X2" s="95"/>
      <c r="Y2" s="95"/>
      <c r="Z2" s="95"/>
      <c r="AA2" s="95"/>
      <c r="AB2" s="95"/>
      <c r="AC2" s="95"/>
    </row>
    <row r="3" spans="1:29">
      <c r="A3" s="95"/>
      <c r="B3" s="95"/>
      <c r="C3" s="95"/>
      <c r="D3" s="95"/>
      <c r="E3" s="95"/>
      <c r="F3" s="95"/>
      <c r="G3" s="95"/>
      <c r="H3" s="95"/>
      <c r="I3" s="95"/>
      <c r="J3" s="95"/>
      <c r="K3" s="95"/>
      <c r="L3" s="95"/>
      <c r="M3" s="95"/>
      <c r="N3" s="95"/>
      <c r="O3" s="95"/>
      <c r="P3" s="95"/>
      <c r="Q3" s="95"/>
      <c r="R3" s="95"/>
      <c r="S3" s="95"/>
      <c r="T3" s="95"/>
      <c r="U3" s="95"/>
      <c r="V3" s="95"/>
      <c r="W3" s="95"/>
      <c r="X3" s="95"/>
      <c r="Y3" s="95"/>
      <c r="Z3" s="95"/>
      <c r="AA3" s="95"/>
      <c r="AB3" s="95"/>
      <c r="AC3" s="95"/>
    </row>
    <row r="4" spans="1:29">
      <c r="A4" s="95"/>
      <c r="B4" s="95" t="s">
        <v>155</v>
      </c>
      <c r="C4" s="95"/>
      <c r="D4" s="95"/>
      <c r="E4" s="95"/>
      <c r="F4" s="95"/>
      <c r="G4" s="95"/>
      <c r="H4" s="95"/>
      <c r="I4" s="95"/>
      <c r="J4" s="95"/>
      <c r="K4" s="95"/>
      <c r="L4" s="95"/>
      <c r="M4" s="95"/>
      <c r="N4" s="95"/>
      <c r="O4" s="95"/>
      <c r="P4" s="95"/>
      <c r="Q4" s="95"/>
      <c r="R4" s="95"/>
      <c r="S4" s="95"/>
      <c r="T4" s="95"/>
      <c r="U4" s="95"/>
      <c r="V4" s="95"/>
      <c r="W4" s="95"/>
      <c r="X4" s="95"/>
      <c r="Y4" s="95"/>
      <c r="Z4" s="95"/>
      <c r="AA4" s="95"/>
      <c r="AB4" s="95"/>
      <c r="AC4" s="95"/>
    </row>
    <row r="5" spans="1:29">
      <c r="A5" s="95"/>
      <c r="B5" s="95" t="s">
        <v>156</v>
      </c>
      <c r="C5" s="95"/>
      <c r="D5" s="95"/>
      <c r="E5" s="95"/>
      <c r="F5" s="95"/>
      <c r="G5" s="95"/>
      <c r="H5" s="95"/>
      <c r="I5" s="95"/>
      <c r="J5" s="95"/>
      <c r="K5" s="95"/>
      <c r="L5" s="95"/>
      <c r="M5" s="95"/>
      <c r="N5" s="95"/>
      <c r="O5" s="95"/>
      <c r="P5" s="95"/>
      <c r="Q5" s="95"/>
      <c r="R5" s="95"/>
      <c r="S5" s="95"/>
      <c r="T5" s="95"/>
      <c r="U5" s="95"/>
      <c r="V5" s="95"/>
      <c r="W5" s="95"/>
      <c r="X5" s="95"/>
      <c r="Y5" s="95"/>
      <c r="Z5" s="95"/>
      <c r="AA5" s="95"/>
      <c r="AB5" s="95"/>
      <c r="AC5" s="95"/>
    </row>
    <row r="6" spans="1:29">
      <c r="A6" s="95"/>
      <c r="B6" s="95" t="s">
        <v>157</v>
      </c>
      <c r="C6" s="95"/>
      <c r="D6" s="95"/>
      <c r="E6" s="95"/>
      <c r="F6" s="95"/>
      <c r="G6" s="95"/>
      <c r="H6" s="95"/>
      <c r="I6" s="95"/>
      <c r="J6" s="95"/>
      <c r="K6" s="95"/>
      <c r="L6" s="95"/>
      <c r="M6" s="95"/>
      <c r="N6" s="95"/>
      <c r="O6" s="95"/>
      <c r="P6" s="95"/>
      <c r="Q6" s="95"/>
      <c r="R6" s="95"/>
      <c r="S6" s="95"/>
      <c r="T6" s="95"/>
      <c r="U6" s="95"/>
      <c r="V6" s="95"/>
      <c r="W6" s="95"/>
      <c r="X6" s="95"/>
      <c r="Y6" s="95"/>
      <c r="Z6" s="95"/>
      <c r="AA6" s="95"/>
      <c r="AB6" s="95"/>
      <c r="AC6" s="95"/>
    </row>
    <row r="8" spans="1:29">
      <c r="A8" s="1" t="s">
        <v>0</v>
      </c>
    </row>
    <row r="10" spans="1:29" ht="58.3" customHeight="1">
      <c r="A10" t="s">
        <v>100</v>
      </c>
      <c r="B10" s="2" t="s">
        <v>101</v>
      </c>
      <c r="C10" s="3">
        <f>(COMBIN(5,3)*(0.5)^5)+(5*(0.5)^5)+((0.5)^5)</f>
        <v>0.5</v>
      </c>
    </row>
    <row r="12" spans="1:29" ht="66.900000000000006" customHeight="1">
      <c r="A12" t="s">
        <v>102</v>
      </c>
      <c r="B12" s="4" t="s">
        <v>103</v>
      </c>
      <c r="C12" s="3">
        <f>(COMBIN(5,3)*(0.5)^5)+(5*(0.5)^5)+((0.5)^5)</f>
        <v>0.5</v>
      </c>
    </row>
    <row r="13" spans="1:29" ht="20.149999999999999" customHeight="1"/>
    <row r="14" spans="1:29" ht="51.9" customHeight="1">
      <c r="B14" s="4" t="s">
        <v>158</v>
      </c>
      <c r="D14" s="95" t="s">
        <v>159</v>
      </c>
      <c r="K14" s="95" t="s">
        <v>160</v>
      </c>
      <c r="V14" s="95" t="s">
        <v>161</v>
      </c>
    </row>
    <row r="17" spans="1:10">
      <c r="A17" s="1" t="s">
        <v>17</v>
      </c>
    </row>
    <row r="19" spans="1:10" ht="60.9">
      <c r="C19" s="5" t="s">
        <v>104</v>
      </c>
      <c r="D19" s="6" t="s">
        <v>105</v>
      </c>
      <c r="E19" s="7" t="s">
        <v>106</v>
      </c>
      <c r="F19" s="8"/>
      <c r="G19" s="8"/>
      <c r="H19" s="8"/>
      <c r="I19" s="8"/>
      <c r="J19" s="18"/>
    </row>
    <row r="20" spans="1:10" ht="15.9">
      <c r="C20" s="9"/>
      <c r="D20" s="10" t="s">
        <v>60</v>
      </c>
      <c r="E20" s="11" t="s">
        <v>22</v>
      </c>
      <c r="F20" s="12" t="s">
        <v>107</v>
      </c>
      <c r="G20" s="12" t="s">
        <v>108</v>
      </c>
      <c r="H20" s="12" t="s">
        <v>109</v>
      </c>
      <c r="I20" s="12" t="s">
        <v>110</v>
      </c>
      <c r="J20" s="19" t="s">
        <v>111</v>
      </c>
    </row>
    <row r="21" spans="1:10" ht="15.9">
      <c r="C21" s="13">
        <v>43714</v>
      </c>
      <c r="D21" s="14">
        <v>10946.2</v>
      </c>
      <c r="E21" s="15">
        <v>25.63</v>
      </c>
      <c r="F21" s="16">
        <f>D21-$D$268</f>
        <v>11.659146341460655</v>
      </c>
      <c r="G21" s="16">
        <f>E21-$E$268</f>
        <v>-1.9306504065040748</v>
      </c>
      <c r="H21" s="16">
        <f>F21^2</f>
        <v>135.93569341159537</v>
      </c>
      <c r="I21" s="16">
        <f>G21^2</f>
        <v>3.7274109921343492</v>
      </c>
      <c r="J21" s="20">
        <f>F21*G21</f>
        <v>-22.50973562363151</v>
      </c>
    </row>
    <row r="22" spans="1:10" ht="15.9">
      <c r="C22" s="13">
        <v>43717</v>
      </c>
      <c r="D22" s="14">
        <v>11003.05</v>
      </c>
      <c r="E22" s="17">
        <v>25.79</v>
      </c>
      <c r="F22" s="16">
        <f>D22-$D$268</f>
        <v>68.5091463414592</v>
      </c>
      <c r="G22" s="16">
        <f>E22-$E$268</f>
        <v>-1.7706504065040747</v>
      </c>
      <c r="H22" s="16">
        <f t="shared" ref="H22:H85" si="0">F22^2</f>
        <v>4693.5031324354723</v>
      </c>
      <c r="I22" s="16">
        <f t="shared" ref="I22:I85" si="1">G22^2</f>
        <v>3.135202862053045</v>
      </c>
      <c r="J22" s="20">
        <f>F22*G22</f>
        <v>-121.30574781875187</v>
      </c>
    </row>
    <row r="23" spans="1:10" ht="15.9">
      <c r="C23" s="13">
        <v>43719</v>
      </c>
      <c r="D23" s="14">
        <v>11035.7</v>
      </c>
      <c r="E23" s="15">
        <v>25.78</v>
      </c>
      <c r="F23" s="16">
        <f>D23-$D$268</f>
        <v>101.15914634146066</v>
      </c>
      <c r="G23" s="16">
        <f>E23-$E$268</f>
        <v>-1.7806504065040727</v>
      </c>
      <c r="H23" s="16">
        <f t="shared" si="0"/>
        <v>10233.172888533052</v>
      </c>
      <c r="I23" s="16">
        <f t="shared" si="1"/>
        <v>3.1707158701831193</v>
      </c>
      <c r="J23" s="20">
        <f>F23*G23</f>
        <v>-180.12907505452688</v>
      </c>
    </row>
    <row r="24" spans="1:10" ht="15.9">
      <c r="C24" s="13">
        <v>43720</v>
      </c>
      <c r="D24" s="14">
        <v>10982.8</v>
      </c>
      <c r="E24" s="17">
        <v>25.71</v>
      </c>
      <c r="F24" s="16">
        <f>D24-$D$268</f>
        <v>48.2591463414592</v>
      </c>
      <c r="G24" s="16">
        <f>E24-$E$268</f>
        <v>-1.850650406504073</v>
      </c>
      <c r="H24" s="16">
        <f t="shared" si="0"/>
        <v>2328.9452056063747</v>
      </c>
      <c r="I24" s="16">
        <f t="shared" si="1"/>
        <v>3.4249069270936907</v>
      </c>
      <c r="J24" s="20">
        <f>F24*G24</f>
        <v>-89.310808794361009</v>
      </c>
    </row>
    <row r="25" spans="1:10" ht="15.9">
      <c r="C25" s="13">
        <v>43721</v>
      </c>
      <c r="D25" s="14">
        <v>11075.9</v>
      </c>
      <c r="E25" s="15">
        <v>25.9</v>
      </c>
      <c r="F25" s="16">
        <f>D25-$D$268</f>
        <v>141.35914634145956</v>
      </c>
      <c r="G25" s="16">
        <f>E25-$E$268</f>
        <v>-1.6606504065040752</v>
      </c>
      <c r="H25" s="16">
        <f t="shared" si="0"/>
        <v>19982.40825438618</v>
      </c>
      <c r="I25" s="16">
        <f t="shared" si="1"/>
        <v>2.7577597726221503</v>
      </c>
      <c r="J25" s="20">
        <f>F25*G25</f>
        <v>-234.7481238350139</v>
      </c>
    </row>
    <row r="26" spans="1:10" ht="15.9">
      <c r="C26" s="13">
        <v>43724</v>
      </c>
      <c r="D26" s="14">
        <v>11003.5</v>
      </c>
      <c r="E26" s="17">
        <v>25.8</v>
      </c>
      <c r="F26" s="16">
        <f>D26-$D$268</f>
        <v>68.959146341459927</v>
      </c>
      <c r="G26" s="16">
        <f>E26-$E$268</f>
        <v>-1.7606504065040731</v>
      </c>
      <c r="H26" s="16">
        <f t="shared" si="0"/>
        <v>4755.3638641428861</v>
      </c>
      <c r="I26" s="16">
        <f t="shared" si="1"/>
        <v>3.0998898539229578</v>
      </c>
      <c r="J26" s="20">
        <f>F26*G26</f>
        <v>-121.41294903826528</v>
      </c>
    </row>
    <row r="27" spans="1:10" ht="15.9">
      <c r="C27" s="13">
        <v>43725</v>
      </c>
      <c r="D27" s="14">
        <v>10817.6</v>
      </c>
      <c r="E27" s="15">
        <v>25.42</v>
      </c>
      <c r="F27" s="16">
        <f>D27-$D$268</f>
        <v>-116.94085365853971</v>
      </c>
      <c r="G27" s="16">
        <f>E27-$E$268</f>
        <v>-2.1406504065040721</v>
      </c>
      <c r="H27" s="16">
        <f t="shared" si="0"/>
        <v>13675.163254388</v>
      </c>
      <c r="I27" s="16">
        <f t="shared" si="1"/>
        <v>4.5823841628660489</v>
      </c>
      <c r="J27" s="20">
        <f>F27*G27</f>
        <v>250.32948592108625</v>
      </c>
    </row>
    <row r="28" spans="1:10" ht="15.9">
      <c r="C28" s="13">
        <v>43726</v>
      </c>
      <c r="D28" s="14">
        <v>10840.65</v>
      </c>
      <c r="E28" s="17">
        <v>25.47</v>
      </c>
      <c r="F28" s="16">
        <f>D28-$D$268</f>
        <v>-93.890853658540436</v>
      </c>
      <c r="G28" s="16">
        <f>E28-$E$268</f>
        <v>-2.090650406504075</v>
      </c>
      <c r="H28" s="16">
        <f t="shared" si="0"/>
        <v>8815.4924007294558</v>
      </c>
      <c r="I28" s="16">
        <f t="shared" si="1"/>
        <v>4.3708191222156536</v>
      </c>
      <c r="J28" s="20">
        <f>F28*G28</f>
        <v>196.29295136824217</v>
      </c>
    </row>
    <row r="29" spans="1:10" ht="15.9">
      <c r="C29" s="13">
        <v>43727</v>
      </c>
      <c r="D29" s="14">
        <v>10704.8</v>
      </c>
      <c r="E29" s="15">
        <v>25.22</v>
      </c>
      <c r="F29" s="16">
        <f>D29-$D$268</f>
        <v>-229.7408536585408</v>
      </c>
      <c r="G29" s="16">
        <f>E29-$E$268</f>
        <v>-2.340650406504075</v>
      </c>
      <c r="H29" s="16">
        <f t="shared" si="0"/>
        <v>52780.85983975506</v>
      </c>
      <c r="I29" s="16">
        <f t="shared" si="1"/>
        <v>5.4786443254676911</v>
      </c>
      <c r="J29" s="20">
        <f>F29*G29</f>
        <v>537.74302250645667</v>
      </c>
    </row>
    <row r="30" spans="1:10" ht="15.9">
      <c r="C30" s="13">
        <v>43728</v>
      </c>
      <c r="D30" s="14">
        <v>11274.2</v>
      </c>
      <c r="E30" s="17">
        <v>26.63</v>
      </c>
      <c r="F30" s="16">
        <f>D30-$D$268</f>
        <v>339.65914634146066</v>
      </c>
      <c r="G30" s="16">
        <f>E30-$E$268</f>
        <v>-0.93065040650407482</v>
      </c>
      <c r="H30" s="16">
        <f t="shared" si="0"/>
        <v>115368.33569340978</v>
      </c>
      <c r="I30" s="16">
        <f t="shared" si="1"/>
        <v>0.8661101791261997</v>
      </c>
      <c r="J30" s="20">
        <f>F30*G30</f>
        <v>-316.10392261550737</v>
      </c>
    </row>
    <row r="31" spans="1:10" ht="15.9">
      <c r="C31" s="13">
        <v>43731</v>
      </c>
      <c r="D31" s="14">
        <v>11600.2</v>
      </c>
      <c r="E31" s="15">
        <v>27.46</v>
      </c>
      <c r="F31" s="16">
        <f>D31-$D$268</f>
        <v>665.65914634146066</v>
      </c>
      <c r="G31" s="16">
        <f>E31-$E$268</f>
        <v>-0.10065040650407298</v>
      </c>
      <c r="H31" s="16">
        <f t="shared" si="0"/>
        <v>443102.09910804214</v>
      </c>
      <c r="I31" s="16">
        <f t="shared" si="1"/>
        <v>1.0130504329435136E-2</v>
      </c>
      <c r="J31" s="20">
        <f>F31*G31</f>
        <v>-66.998863672422218</v>
      </c>
    </row>
    <row r="32" spans="1:10" ht="15.9">
      <c r="C32" s="13">
        <v>43732</v>
      </c>
      <c r="D32" s="14">
        <v>11588.2</v>
      </c>
      <c r="E32" s="17">
        <v>27.38</v>
      </c>
      <c r="F32" s="16">
        <f>D32-$D$268</f>
        <v>653.65914634146066</v>
      </c>
      <c r="G32" s="16">
        <f>E32-$E$268</f>
        <v>-0.18065040650407482</v>
      </c>
      <c r="H32" s="16">
        <f t="shared" si="0"/>
        <v>427270.27959584707</v>
      </c>
      <c r="I32" s="16">
        <f t="shared" si="1"/>
        <v>3.2634569370087477E-2</v>
      </c>
      <c r="J32" s="20">
        <f>F32*G32</f>
        <v>-118.0837905016914</v>
      </c>
    </row>
    <row r="33" spans="3:10" ht="15.9">
      <c r="C33" s="13">
        <v>43733</v>
      </c>
      <c r="D33" s="14">
        <v>11440.2</v>
      </c>
      <c r="E33" s="15">
        <v>27.11</v>
      </c>
      <c r="F33" s="16">
        <f>D33-$D$268</f>
        <v>505.65914634146066</v>
      </c>
      <c r="G33" s="16">
        <f>E33-$E$268</f>
        <v>-0.4506504065040744</v>
      </c>
      <c r="H33" s="16">
        <f t="shared" si="0"/>
        <v>255691.17227877473</v>
      </c>
      <c r="I33" s="16">
        <f t="shared" si="1"/>
        <v>0.20308578888228751</v>
      </c>
      <c r="J33" s="20">
        <f>F33*G33</f>
        <v>-227.87549985128248</v>
      </c>
    </row>
    <row r="34" spans="3:10" ht="15.9">
      <c r="C34" s="13">
        <v>43734</v>
      </c>
      <c r="D34" s="14">
        <v>11571.2</v>
      </c>
      <c r="E34" s="17">
        <v>27.46</v>
      </c>
      <c r="F34" s="16">
        <f>D34-$D$268</f>
        <v>636.65914634146066</v>
      </c>
      <c r="G34" s="16">
        <f>E34-$E$268</f>
        <v>-0.10065040650407298</v>
      </c>
      <c r="H34" s="16">
        <f t="shared" si="0"/>
        <v>405334.86862023739</v>
      </c>
      <c r="I34" s="16">
        <f t="shared" si="1"/>
        <v>1.0130504329435136E-2</v>
      </c>
      <c r="J34" s="20">
        <f>F34*G34</f>
        <v>-64.080001883804101</v>
      </c>
    </row>
    <row r="35" spans="3:10" ht="15.9">
      <c r="C35" s="13">
        <v>43735</v>
      </c>
      <c r="D35" s="14">
        <v>11512.4</v>
      </c>
      <c r="E35" s="15">
        <v>27.42</v>
      </c>
      <c r="F35" s="16">
        <f>D35-$D$268</f>
        <v>577.85914634145956</v>
      </c>
      <c r="G35" s="16">
        <f>E35-$E$268</f>
        <v>-0.14065040650407212</v>
      </c>
      <c r="H35" s="16">
        <f t="shared" si="0"/>
        <v>333921.19301048038</v>
      </c>
      <c r="I35" s="16">
        <f t="shared" si="1"/>
        <v>1.9782536849760734E-2</v>
      </c>
      <c r="J35" s="20">
        <f>F35*G35</f>
        <v>-81.276123835022389</v>
      </c>
    </row>
    <row r="36" spans="3:10" ht="15.9">
      <c r="C36" s="13">
        <v>43738</v>
      </c>
      <c r="D36" s="14">
        <v>11474.45</v>
      </c>
      <c r="E36" s="17">
        <v>27.3</v>
      </c>
      <c r="F36" s="16">
        <f>D36-$D$268</f>
        <v>539.90914634146066</v>
      </c>
      <c r="G36" s="16">
        <f>E36-$E$268</f>
        <v>-0.26065040650407312</v>
      </c>
      <c r="H36" s="16">
        <f t="shared" si="0"/>
        <v>291501.88630316476</v>
      </c>
      <c r="I36" s="16">
        <f t="shared" si="1"/>
        <v>6.7938634410738566E-2</v>
      </c>
      <c r="J36" s="20">
        <f>F36*G36</f>
        <v>-140.72753846916882</v>
      </c>
    </row>
    <row r="37" spans="3:10" ht="15.9">
      <c r="C37" s="13">
        <v>43739</v>
      </c>
      <c r="D37" s="14">
        <v>11359.9</v>
      </c>
      <c r="E37" s="15">
        <v>27.17</v>
      </c>
      <c r="F37" s="16">
        <f>D37-$D$268</f>
        <v>425.35914634145956</v>
      </c>
      <c r="G37" s="16">
        <f>E37-$E$268</f>
        <v>-0.39065040650407212</v>
      </c>
      <c r="H37" s="16">
        <f t="shared" si="0"/>
        <v>180930.40337633522</v>
      </c>
      <c r="I37" s="16">
        <f t="shared" si="1"/>
        <v>0.15260774010179678</v>
      </c>
      <c r="J37" s="20">
        <f>F37*G37</f>
        <v>-166.16672342851629</v>
      </c>
    </row>
    <row r="38" spans="3:10" ht="15.9">
      <c r="C38" s="13">
        <v>43741</v>
      </c>
      <c r="D38" s="14">
        <v>11314</v>
      </c>
      <c r="E38" s="17">
        <v>27.01</v>
      </c>
      <c r="F38" s="16">
        <f>D38-$D$268</f>
        <v>379.45914634145993</v>
      </c>
      <c r="G38" s="16">
        <f>E38-$E$268</f>
        <v>-0.55065040650407227</v>
      </c>
      <c r="H38" s="16">
        <f t="shared" si="0"/>
        <v>143989.24374218952</v>
      </c>
      <c r="I38" s="16">
        <f t="shared" si="1"/>
        <v>0.30321587018310003</v>
      </c>
      <c r="J38" s="20">
        <f>F38*G38</f>
        <v>-208.94933318461315</v>
      </c>
    </row>
    <row r="39" spans="3:10" ht="15.9">
      <c r="C39" s="13">
        <v>43742</v>
      </c>
      <c r="D39" s="14">
        <v>11174.75</v>
      </c>
      <c r="E39" s="15">
        <v>26.64</v>
      </c>
      <c r="F39" s="16">
        <f>D39-$D$268</f>
        <v>240.20914634145993</v>
      </c>
      <c r="G39" s="16">
        <f>E39-$E$268</f>
        <v>-0.92065040650407326</v>
      </c>
      <c r="H39" s="16">
        <f t="shared" si="0"/>
        <v>57700.43398609291</v>
      </c>
      <c r="I39" s="16">
        <f t="shared" si="1"/>
        <v>0.84759717099611531</v>
      </c>
      <c r="J39" s="20">
        <f>F39*G39</f>
        <v>-221.1486482252615</v>
      </c>
    </row>
    <row r="40" spans="3:10" ht="15.9">
      <c r="C40" s="13">
        <v>43745</v>
      </c>
      <c r="D40" s="14">
        <v>11126.4</v>
      </c>
      <c r="E40" s="17">
        <v>26.6</v>
      </c>
      <c r="F40" s="16">
        <f>D40-$D$268</f>
        <v>191.85914634145956</v>
      </c>
      <c r="G40" s="16">
        <f>E40-$E$268</f>
        <v>-0.96065040650407241</v>
      </c>
      <c r="H40" s="16">
        <f t="shared" si="0"/>
        <v>36809.9320348736</v>
      </c>
      <c r="I40" s="16">
        <f t="shared" si="1"/>
        <v>0.92284920351643951</v>
      </c>
      <c r="J40" s="20">
        <f>F40*G40</f>
        <v>-184.30956692444744</v>
      </c>
    </row>
    <row r="41" spans="3:10" ht="15.9">
      <c r="C41" s="13">
        <v>43747</v>
      </c>
      <c r="D41" s="14">
        <v>11313.3</v>
      </c>
      <c r="E41" s="15">
        <v>27.1</v>
      </c>
      <c r="F41" s="16">
        <f>D41-$D$268</f>
        <v>378.7591463414592</v>
      </c>
      <c r="G41" s="16">
        <f>E41-$E$268</f>
        <v>-0.46065040650407241</v>
      </c>
      <c r="H41" s="16">
        <f t="shared" si="0"/>
        <v>143458.49093731091</v>
      </c>
      <c r="I41" s="16">
        <f t="shared" si="1"/>
        <v>0.21219879701236716</v>
      </c>
      <c r="J41" s="20">
        <f>F41*G41</f>
        <v>-174.47555472932862</v>
      </c>
    </row>
    <row r="42" spans="3:10" ht="15.9">
      <c r="C42" s="13">
        <v>43748</v>
      </c>
      <c r="D42" s="14">
        <v>11234.55</v>
      </c>
      <c r="E42" s="15">
        <v>26.92</v>
      </c>
      <c r="F42" s="16">
        <f>D42-$D$268</f>
        <v>300.0091463414592</v>
      </c>
      <c r="G42" s="16">
        <f>E42-$E$268</f>
        <v>-0.64065040650407212</v>
      </c>
      <c r="H42" s="16">
        <f t="shared" si="0"/>
        <v>90005.487888531075</v>
      </c>
      <c r="I42" s="16">
        <f t="shared" si="1"/>
        <v>0.41043294335383285</v>
      </c>
      <c r="J42" s="20">
        <f>F42*G42</f>
        <v>-192.20098155859549</v>
      </c>
    </row>
    <row r="43" spans="3:10" ht="15.9">
      <c r="C43" s="13">
        <v>43749</v>
      </c>
      <c r="D43" s="14">
        <v>11305.05</v>
      </c>
      <c r="E43" s="17">
        <v>27.09</v>
      </c>
      <c r="F43" s="16">
        <f>D43-$D$268</f>
        <v>370.5091463414592</v>
      </c>
      <c r="G43" s="16">
        <f>E43-$E$268</f>
        <v>-0.47065040650407397</v>
      </c>
      <c r="H43" s="16">
        <f t="shared" si="0"/>
        <v>137277.02752267683</v>
      </c>
      <c r="I43" s="16">
        <f t="shared" si="1"/>
        <v>0.22151180514245009</v>
      </c>
      <c r="J43" s="20">
        <f>F43*G43</f>
        <v>-174.3802803390852</v>
      </c>
    </row>
    <row r="44" spans="3:10" ht="15.9">
      <c r="C44" s="13">
        <v>43752</v>
      </c>
      <c r="D44" s="14">
        <v>11341.15</v>
      </c>
      <c r="E44" s="15">
        <v>27.19</v>
      </c>
      <c r="F44" s="16">
        <f>D44-$D$268</f>
        <v>406.60914634145956</v>
      </c>
      <c r="G44" s="16">
        <f>E44-$E$268</f>
        <v>-0.37065040650407255</v>
      </c>
      <c r="H44" s="16">
        <f t="shared" si="0"/>
        <v>165330.99788853049</v>
      </c>
      <c r="I44" s="16">
        <f t="shared" si="1"/>
        <v>0.13738172384163422</v>
      </c>
      <c r="J44" s="20">
        <f>F44*G44</f>
        <v>-150.70984537973592</v>
      </c>
    </row>
    <row r="45" spans="3:10" ht="15.9">
      <c r="C45" s="13">
        <v>43753</v>
      </c>
      <c r="D45" s="14">
        <v>11428.3</v>
      </c>
      <c r="E45" s="17">
        <v>27.35</v>
      </c>
      <c r="F45" s="16">
        <f>D45-$D$268</f>
        <v>493.7591463414592</v>
      </c>
      <c r="G45" s="16">
        <f>E45-$E$268</f>
        <v>-0.21065040650407241</v>
      </c>
      <c r="H45" s="16">
        <f t="shared" si="0"/>
        <v>243798.09459584652</v>
      </c>
      <c r="I45" s="16">
        <f t="shared" si="1"/>
        <v>4.4373593760330954E-2</v>
      </c>
      <c r="J45" s="20">
        <f>F45*G45</f>
        <v>-104.01056489193216</v>
      </c>
    </row>
    <row r="46" spans="3:10" ht="15.9">
      <c r="C46" s="13">
        <v>43754</v>
      </c>
      <c r="D46" s="14">
        <v>11464</v>
      </c>
      <c r="E46" s="15">
        <v>27.43</v>
      </c>
      <c r="F46" s="16">
        <f>D46-$D$268</f>
        <v>529.45914634145993</v>
      </c>
      <c r="G46" s="16">
        <f>E46-$E$268</f>
        <v>-0.13065040650407411</v>
      </c>
      <c r="H46" s="16">
        <f t="shared" si="0"/>
        <v>280326.98764462746</v>
      </c>
      <c r="I46" s="16">
        <f t="shared" si="1"/>
        <v>1.7069528719679813E-2</v>
      </c>
      <c r="J46" s="20">
        <f>F46*G46</f>
        <v>-69.174052696811799</v>
      </c>
    </row>
    <row r="47" spans="3:10" ht="15.9">
      <c r="C47" s="13">
        <v>43755</v>
      </c>
      <c r="D47" s="14">
        <v>11586.35</v>
      </c>
      <c r="E47" s="17">
        <v>27.67</v>
      </c>
      <c r="F47" s="16">
        <f>D47-$D$268</f>
        <v>651.80914634146029</v>
      </c>
      <c r="G47" s="16">
        <f>E47-$E$268</f>
        <v>0.10934959349592788</v>
      </c>
      <c r="H47" s="16">
        <f t="shared" si="0"/>
        <v>424855.16325438319</v>
      </c>
      <c r="I47" s="16">
        <f t="shared" si="1"/>
        <v>1.1957333597724672E-2</v>
      </c>
      <c r="J47" s="20">
        <f>F47*G47</f>
        <v>71.275065189366444</v>
      </c>
    </row>
    <row r="48" spans="3:10" ht="15.9">
      <c r="C48" s="13">
        <v>43756</v>
      </c>
      <c r="D48" s="14">
        <v>11661.85</v>
      </c>
      <c r="E48" s="15">
        <v>27.85</v>
      </c>
      <c r="F48" s="16">
        <f>D48-$D$268</f>
        <v>727.30914634146029</v>
      </c>
      <c r="G48" s="16">
        <f>E48-$E$268</f>
        <v>0.28934959349592759</v>
      </c>
      <c r="H48" s="16">
        <f t="shared" si="0"/>
        <v>528978.5943519437</v>
      </c>
      <c r="I48" s="16">
        <f t="shared" si="1"/>
        <v>8.3723187256258547E-2</v>
      </c>
      <c r="J48" s="20">
        <f>F48*G48</f>
        <v>210.44660583977165</v>
      </c>
    </row>
    <row r="49" spans="3:10" ht="15.9">
      <c r="C49" s="13">
        <v>43760</v>
      </c>
      <c r="D49" s="14">
        <v>11588.35</v>
      </c>
      <c r="E49" s="17">
        <v>27.8</v>
      </c>
      <c r="F49" s="16">
        <f>D49-$D$268</f>
        <v>653.80914634146029</v>
      </c>
      <c r="G49" s="16">
        <f>E49-$E$268</f>
        <v>0.23934959349592688</v>
      </c>
      <c r="H49" s="16">
        <f t="shared" si="0"/>
        <v>427466.39983974904</v>
      </c>
      <c r="I49" s="16">
        <f t="shared" si="1"/>
        <v>5.7288227906665441E-2</v>
      </c>
      <c r="J49" s="20">
        <f>F49*G49</f>
        <v>156.4889534007475</v>
      </c>
    </row>
    <row r="50" spans="3:10" ht="15.9">
      <c r="C50" s="13">
        <v>43761</v>
      </c>
      <c r="D50" s="14">
        <v>11604.1</v>
      </c>
      <c r="E50" s="15">
        <v>27.9</v>
      </c>
      <c r="F50" s="16">
        <f>D50-$D$268</f>
        <v>669.55914634146029</v>
      </c>
      <c r="G50" s="16">
        <f>E50-$E$268</f>
        <v>0.33934959349592475</v>
      </c>
      <c r="H50" s="16">
        <f t="shared" si="0"/>
        <v>448309.45044950506</v>
      </c>
      <c r="I50" s="16">
        <f t="shared" si="1"/>
        <v>0.11515814660584937</v>
      </c>
      <c r="J50" s="20">
        <f>F50*G50</f>
        <v>227.21462413245294</v>
      </c>
    </row>
    <row r="51" spans="3:10" ht="15.9">
      <c r="C51" s="13">
        <v>43762</v>
      </c>
      <c r="D51" s="14">
        <v>11582.6</v>
      </c>
      <c r="E51" s="17">
        <v>27.92</v>
      </c>
      <c r="F51" s="16">
        <f>D51-$D$268</f>
        <v>648.05914634146029</v>
      </c>
      <c r="G51" s="16">
        <f>E51-$E$268</f>
        <v>0.35934959349592788</v>
      </c>
      <c r="H51" s="16">
        <f t="shared" si="0"/>
        <v>419980.65715682227</v>
      </c>
      <c r="I51" s="16">
        <f t="shared" si="1"/>
        <v>0.1291321303456886</v>
      </c>
      <c r="J51" s="20">
        <f>F51*G51</f>
        <v>232.87979079912179</v>
      </c>
    </row>
    <row r="52" spans="3:10" ht="15.9">
      <c r="C52" s="13">
        <v>43763</v>
      </c>
      <c r="D52" s="14">
        <v>11583.9</v>
      </c>
      <c r="E52" s="15">
        <v>27.89</v>
      </c>
      <c r="F52" s="16">
        <f>D52-$D$268</f>
        <v>649.35914634145956</v>
      </c>
      <c r="G52" s="16">
        <f>E52-$E$268</f>
        <v>0.32934959349592674</v>
      </c>
      <c r="H52" s="16">
        <f t="shared" si="0"/>
        <v>421667.3009373091</v>
      </c>
      <c r="I52" s="16">
        <f t="shared" si="1"/>
        <v>0.10847115473593219</v>
      </c>
      <c r="J52" s="20">
        <f>F52*G52</f>
        <v>213.86617088042172</v>
      </c>
    </row>
    <row r="53" spans="3:10" ht="15.9">
      <c r="C53" s="13">
        <v>43765</v>
      </c>
      <c r="D53" s="14">
        <v>11627.15</v>
      </c>
      <c r="E53" s="17">
        <v>28.27</v>
      </c>
      <c r="F53" s="16">
        <f>D53-$D$268</f>
        <v>692.60914634145956</v>
      </c>
      <c r="G53" s="16">
        <f>E53-$E$268</f>
        <v>0.70934959349592575</v>
      </c>
      <c r="H53" s="16">
        <f t="shared" si="0"/>
        <v>479707.42959584534</v>
      </c>
      <c r="I53" s="16">
        <f t="shared" si="1"/>
        <v>0.50317684579283506</v>
      </c>
      <c r="J53" s="20">
        <f>F53*G53</f>
        <v>491.30201640887447</v>
      </c>
    </row>
    <row r="54" spans="3:10" ht="15.9">
      <c r="C54" s="13">
        <v>43767</v>
      </c>
      <c r="D54" s="14">
        <v>11786.85</v>
      </c>
      <c r="E54" s="15">
        <v>28.38</v>
      </c>
      <c r="F54" s="16">
        <f>D54-$D$268</f>
        <v>852.30914634146029</v>
      </c>
      <c r="G54" s="16">
        <f>E54-$E$268</f>
        <v>0.81934959349592518</v>
      </c>
      <c r="H54" s="16">
        <f t="shared" si="0"/>
        <v>726430.88093730877</v>
      </c>
      <c r="I54" s="16">
        <f t="shared" si="1"/>
        <v>0.67133375636193782</v>
      </c>
      <c r="J54" s="20">
        <f>F54*G54</f>
        <v>698.33915258773447</v>
      </c>
    </row>
    <row r="55" spans="3:10" ht="15.9">
      <c r="C55" s="13">
        <v>43769</v>
      </c>
      <c r="D55" s="14">
        <v>11877.45</v>
      </c>
      <c r="E55" s="17">
        <v>28.36</v>
      </c>
      <c r="F55" s="16">
        <f>D55-$D$268</f>
        <v>942.90914634146066</v>
      </c>
      <c r="G55" s="16">
        <f>E55-$E$268</f>
        <v>0.7993495934959256</v>
      </c>
      <c r="H55" s="16">
        <f t="shared" si="0"/>
        <v>889077.65825438208</v>
      </c>
      <c r="I55" s="16">
        <f t="shared" si="1"/>
        <v>0.63895977262210146</v>
      </c>
      <c r="J55" s="20">
        <f>F55*G55</f>
        <v>753.71404283163679</v>
      </c>
    </row>
    <row r="56" spans="3:10" ht="15.9">
      <c r="C56" s="13">
        <v>43770</v>
      </c>
      <c r="D56" s="14">
        <v>11890.6</v>
      </c>
      <c r="E56" s="15">
        <v>28.32</v>
      </c>
      <c r="F56" s="16">
        <f>D56-$D$268</f>
        <v>956.05914634146029</v>
      </c>
      <c r="G56" s="16">
        <f>E56-$E$268</f>
        <v>0.75934959349592646</v>
      </c>
      <c r="H56" s="16">
        <f t="shared" si="0"/>
        <v>914049.09130316181</v>
      </c>
      <c r="I56" s="16">
        <f t="shared" si="1"/>
        <v>0.57661180514242871</v>
      </c>
      <c r="J56" s="20">
        <f>F56*G56</f>
        <v>725.98312413245037</v>
      </c>
    </row>
    <row r="57" spans="3:10" ht="15.9">
      <c r="C57" s="13">
        <v>43773</v>
      </c>
      <c r="D57" s="14">
        <v>11941.3</v>
      </c>
      <c r="E57" s="17">
        <v>28.46</v>
      </c>
      <c r="F57" s="16">
        <f>D57-$D$268</f>
        <v>1006.7591463414592</v>
      </c>
      <c r="G57" s="16">
        <f>E57-$E$268</f>
        <v>0.89934959349592702</v>
      </c>
      <c r="H57" s="16">
        <f t="shared" si="0"/>
        <v>1013563.9787421837</v>
      </c>
      <c r="I57" s="16">
        <f t="shared" si="1"/>
        <v>0.80882969132128923</v>
      </c>
      <c r="J57" s="20">
        <f>F57*G57</f>
        <v>905.42842901049789</v>
      </c>
    </row>
    <row r="58" spans="3:10" ht="15.9">
      <c r="C58" s="13">
        <v>43774</v>
      </c>
      <c r="D58" s="14">
        <v>11917.2</v>
      </c>
      <c r="E58" s="15">
        <v>28.37</v>
      </c>
      <c r="F58" s="16">
        <f>D58-$D$268</f>
        <v>982.65914634146066</v>
      </c>
      <c r="G58" s="16">
        <f>E58-$E$268</f>
        <v>0.80934959349592717</v>
      </c>
      <c r="H58" s="16">
        <f t="shared" si="0"/>
        <v>965618.99788852816</v>
      </c>
      <c r="I58" s="16">
        <f t="shared" si="1"/>
        <v>0.65504676449202259</v>
      </c>
      <c r="J58" s="20">
        <f>F58*G58</f>
        <v>795.31478063651593</v>
      </c>
    </row>
    <row r="59" spans="3:10" ht="15.9">
      <c r="C59" s="13">
        <v>43775</v>
      </c>
      <c r="D59" s="14">
        <v>11966.05</v>
      </c>
      <c r="E59" s="17">
        <v>28.45</v>
      </c>
      <c r="F59" s="16">
        <f>D59-$D$268</f>
        <v>1031.5091463414592</v>
      </c>
      <c r="G59" s="16">
        <f>E59-$E$268</f>
        <v>0.88934959349592546</v>
      </c>
      <c r="H59" s="16">
        <f t="shared" si="0"/>
        <v>1064011.118986086</v>
      </c>
      <c r="I59" s="16">
        <f t="shared" si="1"/>
        <v>0.79094269945136786</v>
      </c>
      <c r="J59" s="20">
        <f>F59*G59</f>
        <v>917.3722399861058</v>
      </c>
    </row>
    <row r="60" spans="3:10" ht="15.9">
      <c r="C60" s="13">
        <v>43776</v>
      </c>
      <c r="D60" s="14">
        <v>12012.05</v>
      </c>
      <c r="E60" s="15">
        <v>28.53</v>
      </c>
      <c r="F60" s="16">
        <f>D60-$D$268</f>
        <v>1077.5091463414592</v>
      </c>
      <c r="G60" s="16">
        <f>E60-$E$268</f>
        <v>0.96934959349592731</v>
      </c>
      <c r="H60" s="16">
        <f t="shared" si="0"/>
        <v>1161025.9604495002</v>
      </c>
      <c r="I60" s="16">
        <f t="shared" si="1"/>
        <v>0.93963863441071949</v>
      </c>
      <c r="J60" s="20">
        <f>F60*G60</f>
        <v>1044.4830529942371</v>
      </c>
    </row>
    <row r="61" spans="3:10" ht="15.9">
      <c r="C61" s="13">
        <v>43777</v>
      </c>
      <c r="D61" s="14">
        <v>11908.15</v>
      </c>
      <c r="E61" s="17">
        <v>28.38</v>
      </c>
      <c r="F61" s="16">
        <f>D61-$D$268</f>
        <v>973.60914634145956</v>
      </c>
      <c r="G61" s="16">
        <f>E61-$E$268</f>
        <v>0.81934959349592518</v>
      </c>
      <c r="H61" s="16">
        <f t="shared" si="0"/>
        <v>947914.7698397456</v>
      </c>
      <c r="I61" s="16">
        <f t="shared" si="1"/>
        <v>0.67133375636193782</v>
      </c>
      <c r="J61" s="20">
        <f>F61*G61</f>
        <v>797.7262582787896</v>
      </c>
    </row>
    <row r="62" spans="3:10" ht="15.9">
      <c r="C62" s="13">
        <v>43780</v>
      </c>
      <c r="D62" s="14">
        <v>11913.45</v>
      </c>
      <c r="E62" s="15">
        <v>28.46</v>
      </c>
      <c r="F62" s="16">
        <f>D62-$D$268</f>
        <v>978.90914634146066</v>
      </c>
      <c r="G62" s="16">
        <f>E62-$E$268</f>
        <v>0.89934959349592702</v>
      </c>
      <c r="H62" s="16">
        <f t="shared" si="0"/>
        <v>958263.11679096718</v>
      </c>
      <c r="I62" s="16">
        <f t="shared" si="1"/>
        <v>0.80882969132128923</v>
      </c>
      <c r="J62" s="20">
        <f>F62*G62</f>
        <v>880.3815428316376</v>
      </c>
    </row>
    <row r="63" spans="3:10" ht="15.9">
      <c r="C63" s="13">
        <v>43782</v>
      </c>
      <c r="D63" s="14">
        <v>11840.45</v>
      </c>
      <c r="E63" s="17">
        <v>28.33</v>
      </c>
      <c r="F63" s="16">
        <f>D63-$D$268</f>
        <v>905.90914634146066</v>
      </c>
      <c r="G63" s="16">
        <f>E63-$E$268</f>
        <v>0.76934959349592447</v>
      </c>
      <c r="H63" s="16">
        <f t="shared" si="0"/>
        <v>820671.381425114</v>
      </c>
      <c r="I63" s="16">
        <f t="shared" si="1"/>
        <v>0.59189879701234427</v>
      </c>
      <c r="J63" s="20">
        <f>F63*G63</f>
        <v>696.96083348204274</v>
      </c>
    </row>
    <row r="64" spans="3:10" ht="15.9">
      <c r="C64" s="13">
        <v>43783</v>
      </c>
      <c r="D64" s="14">
        <v>11872.1</v>
      </c>
      <c r="E64" s="15">
        <v>28.44</v>
      </c>
      <c r="F64" s="16">
        <f>D64-$D$268</f>
        <v>937.55914634146029</v>
      </c>
      <c r="G64" s="16">
        <f>E64-$E$268</f>
        <v>0.87934959349592745</v>
      </c>
      <c r="H64" s="16">
        <f t="shared" si="0"/>
        <v>879017.15288852772</v>
      </c>
      <c r="I64" s="16">
        <f t="shared" si="1"/>
        <v>0.7732557075814529</v>
      </c>
      <c r="J64" s="20">
        <f>F64*G64</f>
        <v>824.44225421375188</v>
      </c>
    </row>
    <row r="65" spans="3:10" ht="15.9">
      <c r="C65" s="13">
        <v>43784</v>
      </c>
      <c r="D65" s="14">
        <v>11895.45</v>
      </c>
      <c r="E65" s="17">
        <v>28.56</v>
      </c>
      <c r="F65" s="16">
        <f>D65-$D$268</f>
        <v>960.90914634146066</v>
      </c>
      <c r="G65" s="16">
        <f>E65-$E$268</f>
        <v>0.99934959349592489</v>
      </c>
      <c r="H65" s="16">
        <f t="shared" si="0"/>
        <v>923346.38752267463</v>
      </c>
      <c r="I65" s="16">
        <f t="shared" si="1"/>
        <v>0.99869961002047036</v>
      </c>
      <c r="J65" s="20">
        <f>F65*G65</f>
        <v>960.28416478285487</v>
      </c>
    </row>
    <row r="66" spans="3:10" ht="15.9">
      <c r="C66" s="13">
        <v>43787</v>
      </c>
      <c r="D66" s="14">
        <v>11884.5</v>
      </c>
      <c r="E66" s="15">
        <v>28.49</v>
      </c>
      <c r="F66" s="16">
        <f>D66-$D$268</f>
        <v>949.95914634145993</v>
      </c>
      <c r="G66" s="16">
        <f>E66-$E$268</f>
        <v>0.92934959349592461</v>
      </c>
      <c r="H66" s="16">
        <f t="shared" si="0"/>
        <v>902422.37971779529</v>
      </c>
      <c r="I66" s="16">
        <f t="shared" si="1"/>
        <v>0.86369066693104035</v>
      </c>
      <c r="J66" s="20">
        <f>F66*G66</f>
        <v>882.8441464901714</v>
      </c>
    </row>
    <row r="67" spans="3:10" ht="15.9">
      <c r="C67" s="13">
        <v>43788</v>
      </c>
      <c r="D67" s="14">
        <v>11940.1</v>
      </c>
      <c r="E67" s="15">
        <v>28.53</v>
      </c>
      <c r="F67" s="16">
        <f>D67-$D$268</f>
        <v>1005.5591463414603</v>
      </c>
      <c r="G67" s="16">
        <f>E67-$E$268</f>
        <v>0.96934959349592731</v>
      </c>
      <c r="H67" s="16">
        <f t="shared" si="0"/>
        <v>1011149.1967909663</v>
      </c>
      <c r="I67" s="16">
        <f t="shared" si="1"/>
        <v>0.93963863441071949</v>
      </c>
      <c r="J67" s="20">
        <f>F67*G67</f>
        <v>974.7383497422062</v>
      </c>
    </row>
    <row r="68" spans="3:10" ht="15.9">
      <c r="C68" s="13">
        <v>43789</v>
      </c>
      <c r="D68" s="14">
        <v>11999.1</v>
      </c>
      <c r="E68" s="17">
        <v>28.58</v>
      </c>
      <c r="F68" s="16">
        <f>D68-$D$268</f>
        <v>1064.5591463414603</v>
      </c>
      <c r="G68" s="16">
        <f>E68-$E$268</f>
        <v>1.0193495934959245</v>
      </c>
      <c r="H68" s="16">
        <f t="shared" si="0"/>
        <v>1133286.1760592586</v>
      </c>
      <c r="I68" s="16">
        <f t="shared" si="1"/>
        <v>1.0390735937603064</v>
      </c>
      <c r="J68" s="20">
        <f>F68*G68</f>
        <v>1085.157933075536</v>
      </c>
    </row>
    <row r="69" spans="3:10" ht="15.9">
      <c r="C69" s="13">
        <v>43790</v>
      </c>
      <c r="D69" s="14">
        <v>11968.4</v>
      </c>
      <c r="E69" s="15">
        <v>28.52</v>
      </c>
      <c r="F69" s="16">
        <f>D69-$D$268</f>
        <v>1033.8591463414596</v>
      </c>
      <c r="G69" s="16">
        <f>E69-$E$268</f>
        <v>0.95934959349592575</v>
      </c>
      <c r="H69" s="16">
        <f t="shared" si="0"/>
        <v>1068864.7344738916</v>
      </c>
      <c r="I69" s="16">
        <f t="shared" si="1"/>
        <v>0.92035164254079793</v>
      </c>
      <c r="J69" s="20">
        <f>F69*G69</f>
        <v>991.83235177472409</v>
      </c>
    </row>
    <row r="70" spans="3:10" ht="15.9">
      <c r="C70" s="13">
        <v>43791</v>
      </c>
      <c r="D70" s="14">
        <v>11914.4</v>
      </c>
      <c r="E70" s="17">
        <v>28.34</v>
      </c>
      <c r="F70" s="16">
        <f>D70-$D$268</f>
        <v>979.85914634145956</v>
      </c>
      <c r="G70" s="16">
        <f>E70-$E$268</f>
        <v>0.77934959349592603</v>
      </c>
      <c r="H70" s="16">
        <f t="shared" si="0"/>
        <v>960123.94666901382</v>
      </c>
      <c r="I70" s="16">
        <f t="shared" si="1"/>
        <v>0.60738578888226513</v>
      </c>
      <c r="J70" s="20">
        <f>F70*G70</f>
        <v>763.65282738448161</v>
      </c>
    </row>
    <row r="71" spans="3:10" ht="15.9">
      <c r="C71" s="13">
        <v>43794</v>
      </c>
      <c r="D71" s="14">
        <v>12073.75</v>
      </c>
      <c r="E71" s="15">
        <v>28.65</v>
      </c>
      <c r="F71" s="16">
        <f>D71-$D$268</f>
        <v>1139.2091463414599</v>
      </c>
      <c r="G71" s="16">
        <f>E71-$E$268</f>
        <v>1.0893495934959248</v>
      </c>
      <c r="H71" s="16">
        <f t="shared" si="0"/>
        <v>1297797.4791080379</v>
      </c>
      <c r="I71" s="16">
        <f t="shared" si="1"/>
        <v>1.1866825368497365</v>
      </c>
      <c r="J71" s="20">
        <f>F71*G71</f>
        <v>1240.9970204739088</v>
      </c>
    </row>
    <row r="72" spans="3:10" ht="15.9">
      <c r="C72" s="13">
        <v>43795</v>
      </c>
      <c r="D72" s="14">
        <v>12037.7</v>
      </c>
      <c r="E72" s="17">
        <v>28.67</v>
      </c>
      <c r="F72" s="16">
        <f>D72-$D$268</f>
        <v>1103.1591463414607</v>
      </c>
      <c r="G72" s="16">
        <f>E72-$E$268</f>
        <v>1.1093495934959279</v>
      </c>
      <c r="H72" s="16">
        <f t="shared" si="0"/>
        <v>1216960.1021568202</v>
      </c>
      <c r="I72" s="16">
        <f t="shared" si="1"/>
        <v>1.2306565205895805</v>
      </c>
      <c r="J72" s="20">
        <f>F72*G72</f>
        <v>1223.7891505552143</v>
      </c>
    </row>
    <row r="73" spans="3:10" ht="15.9">
      <c r="C73" s="13">
        <v>43796</v>
      </c>
      <c r="D73" s="14">
        <v>12100.7</v>
      </c>
      <c r="E73" s="15">
        <v>28.77</v>
      </c>
      <c r="F73" s="16">
        <f>D73-$D$268</f>
        <v>1166.1591463414607</v>
      </c>
      <c r="G73" s="16">
        <f>E73-$E$268</f>
        <v>1.2093495934959257</v>
      </c>
      <c r="H73" s="16">
        <f t="shared" si="0"/>
        <v>1359927.1545958442</v>
      </c>
      <c r="I73" s="16">
        <f t="shared" si="1"/>
        <v>1.4625264392887609</v>
      </c>
      <c r="J73" s="20">
        <f>F73*G73</f>
        <v>1410.2940895796012</v>
      </c>
    </row>
    <row r="74" spans="3:10" ht="15.9">
      <c r="C74" s="13">
        <v>43797</v>
      </c>
      <c r="D74" s="14">
        <v>12151.15</v>
      </c>
      <c r="E74" s="17">
        <v>28.85</v>
      </c>
      <c r="F74" s="16">
        <f>D74-$D$268</f>
        <v>1216.6091463414596</v>
      </c>
      <c r="G74" s="16">
        <f>E74-$E$268</f>
        <v>1.2893495934959276</v>
      </c>
      <c r="H74" s="16">
        <f t="shared" si="0"/>
        <v>1480137.8149616949</v>
      </c>
      <c r="I74" s="16">
        <f t="shared" si="1"/>
        <v>1.6624223742481137</v>
      </c>
      <c r="J74" s="20">
        <f>F74*G74</f>
        <v>1568.6345082787884</v>
      </c>
    </row>
    <row r="75" spans="3:10" ht="15.9">
      <c r="C75" s="13">
        <v>43798</v>
      </c>
      <c r="D75" s="14">
        <v>12056.05</v>
      </c>
      <c r="E75" s="15">
        <v>28.7</v>
      </c>
      <c r="F75" s="16">
        <f>D75-$D$268</f>
        <v>1121.5091463414592</v>
      </c>
      <c r="G75" s="16">
        <f>E75-$E$268</f>
        <v>1.1393495934959255</v>
      </c>
      <c r="H75" s="16">
        <f t="shared" si="0"/>
        <v>1257782.7653275486</v>
      </c>
      <c r="I75" s="16">
        <f t="shared" si="1"/>
        <v>1.2981174961993307</v>
      </c>
      <c r="J75" s="20">
        <f>F75*G75</f>
        <v>1277.790989986104</v>
      </c>
    </row>
    <row r="76" spans="3:10" ht="15.9">
      <c r="C76" s="13">
        <v>43801</v>
      </c>
      <c r="D76" s="14">
        <v>12048.2</v>
      </c>
      <c r="E76" s="17">
        <v>28.69</v>
      </c>
      <c r="F76" s="16">
        <f>D76-$D$268</f>
        <v>1113.6591463414607</v>
      </c>
      <c r="G76" s="16">
        <f>E76-$E$268</f>
        <v>1.1293495934959275</v>
      </c>
      <c r="H76" s="16">
        <f t="shared" si="0"/>
        <v>1240236.6942299909</v>
      </c>
      <c r="I76" s="16">
        <f t="shared" si="1"/>
        <v>1.2754305043294165</v>
      </c>
      <c r="J76" s="20">
        <f>F76*G76</f>
        <v>1257.7105042137503</v>
      </c>
    </row>
    <row r="77" spans="3:10" ht="15.9">
      <c r="C77" s="13">
        <v>43802</v>
      </c>
      <c r="D77" s="14">
        <v>11994.2</v>
      </c>
      <c r="E77" s="15">
        <v>28.63</v>
      </c>
      <c r="F77" s="16">
        <f>D77-$D$268</f>
        <v>1059.6591463414607</v>
      </c>
      <c r="G77" s="16">
        <f>E77-$E$268</f>
        <v>1.0693495934959252</v>
      </c>
      <c r="H77" s="16">
        <f t="shared" si="0"/>
        <v>1122877.5064251132</v>
      </c>
      <c r="I77" s="16">
        <f t="shared" si="1"/>
        <v>1.1435085531099005</v>
      </c>
      <c r="J77" s="20">
        <f>F77*G77</f>
        <v>1133.1460773844801</v>
      </c>
    </row>
    <row r="78" spans="3:10" ht="15.9">
      <c r="C78" s="13">
        <v>43803</v>
      </c>
      <c r="D78" s="14">
        <v>12043.2</v>
      </c>
      <c r="E78" s="17">
        <v>28.76</v>
      </c>
      <c r="F78" s="16">
        <f>D78-$D$268</f>
        <v>1108.6591463414607</v>
      </c>
      <c r="G78" s="16">
        <f>E78-$E$268</f>
        <v>1.1993495934959277</v>
      </c>
      <c r="H78" s="16">
        <f t="shared" si="0"/>
        <v>1229125.1027665762</v>
      </c>
      <c r="I78" s="16">
        <f t="shared" si="1"/>
        <v>1.4384394474188471</v>
      </c>
      <c r="J78" s="20">
        <f>F78*G78</f>
        <v>1329.6698964901732</v>
      </c>
    </row>
    <row r="79" spans="3:10" ht="15.9">
      <c r="C79" s="13">
        <v>43804</v>
      </c>
      <c r="D79" s="14">
        <v>12018.4</v>
      </c>
      <c r="E79" s="15">
        <v>28.76</v>
      </c>
      <c r="F79" s="16">
        <f>D79-$D$268</f>
        <v>1083.8591463414596</v>
      </c>
      <c r="G79" s="16">
        <f>E79-$E$268</f>
        <v>1.1993495934959277</v>
      </c>
      <c r="H79" s="16">
        <f t="shared" si="0"/>
        <v>1174750.6491080374</v>
      </c>
      <c r="I79" s="16">
        <f t="shared" si="1"/>
        <v>1.4384394474188471</v>
      </c>
      <c r="J79" s="20">
        <f>F79*G79</f>
        <v>1299.9260265714727</v>
      </c>
    </row>
    <row r="80" spans="3:10" ht="15.9">
      <c r="C80" s="13">
        <v>43805</v>
      </c>
      <c r="D80" s="14">
        <v>11921.5</v>
      </c>
      <c r="E80" s="17">
        <v>28.63</v>
      </c>
      <c r="F80" s="16">
        <f>D80-$D$268</f>
        <v>986.95914634145993</v>
      </c>
      <c r="G80" s="16">
        <f>E80-$E$268</f>
        <v>1.0693495934959252</v>
      </c>
      <c r="H80" s="16">
        <f t="shared" si="0"/>
        <v>974088.35654706333</v>
      </c>
      <c r="I80" s="16">
        <f t="shared" si="1"/>
        <v>1.1435085531099005</v>
      </c>
      <c r="J80" s="20">
        <f>F80*G80</f>
        <v>1055.4043619373256</v>
      </c>
    </row>
    <row r="81" spans="3:10" ht="15.9">
      <c r="C81" s="13">
        <v>43808</v>
      </c>
      <c r="D81" s="14">
        <v>11937.5</v>
      </c>
      <c r="E81" s="15">
        <v>28.64</v>
      </c>
      <c r="F81" s="16">
        <f>D81-$D$268</f>
        <v>1002.9591463414599</v>
      </c>
      <c r="G81" s="16">
        <f>E81-$E$268</f>
        <v>1.0793495934959267</v>
      </c>
      <c r="H81" s="16">
        <f t="shared" si="0"/>
        <v>1005927.04922999</v>
      </c>
      <c r="I81" s="16">
        <f t="shared" si="1"/>
        <v>1.1649955449798224</v>
      </c>
      <c r="J81" s="20">
        <f>F81*G81</f>
        <v>1082.5435468966764</v>
      </c>
    </row>
    <row r="82" spans="3:10" ht="15.9">
      <c r="C82" s="13">
        <v>43809</v>
      </c>
      <c r="D82" s="14">
        <v>11856.8</v>
      </c>
      <c r="E82" s="17">
        <v>28.52</v>
      </c>
      <c r="F82" s="16">
        <f>D82-$D$268</f>
        <v>922.2591463414592</v>
      </c>
      <c r="G82" s="16">
        <f>E82-$E$268</f>
        <v>0.95934959349592575</v>
      </c>
      <c r="H82" s="16">
        <f t="shared" si="0"/>
        <v>850561.93301047711</v>
      </c>
      <c r="I82" s="16">
        <f t="shared" si="1"/>
        <v>0.92035164254079793</v>
      </c>
      <c r="J82" s="20">
        <f>F82*G82</f>
        <v>884.76893714057837</v>
      </c>
    </row>
    <row r="83" spans="3:10" ht="15.9">
      <c r="C83" s="13">
        <v>43810</v>
      </c>
      <c r="D83" s="14">
        <v>11910.15</v>
      </c>
      <c r="E83" s="15">
        <v>28.63</v>
      </c>
      <c r="F83" s="16">
        <f>D83-$D$268</f>
        <v>975.60914634145956</v>
      </c>
      <c r="G83" s="16">
        <f>E83-$E$268</f>
        <v>1.0693495934959252</v>
      </c>
      <c r="H83" s="16">
        <f t="shared" si="0"/>
        <v>951813.20642511151</v>
      </c>
      <c r="I83" s="16">
        <f t="shared" si="1"/>
        <v>1.1435085531099005</v>
      </c>
      <c r="J83" s="20">
        <f>F83*G83</f>
        <v>1043.2672440511465</v>
      </c>
    </row>
    <row r="84" spans="3:10" ht="15.9">
      <c r="C84" s="13">
        <v>43811</v>
      </c>
      <c r="D84" s="14">
        <v>11971.8</v>
      </c>
      <c r="E84" s="17">
        <v>28.74</v>
      </c>
      <c r="F84" s="16">
        <f>D84-$D$268</f>
        <v>1037.2591463414592</v>
      </c>
      <c r="G84" s="16">
        <f>E84-$E$268</f>
        <v>1.1793495934959246</v>
      </c>
      <c r="H84" s="16">
        <f t="shared" si="0"/>
        <v>1075906.5366690126</v>
      </c>
      <c r="I84" s="16">
        <f t="shared" si="1"/>
        <v>1.3908654636790025</v>
      </c>
      <c r="J84" s="20">
        <f>F84*G84</f>
        <v>1223.2911525877296</v>
      </c>
    </row>
    <row r="85" spans="3:10" ht="15.9">
      <c r="C85" s="13">
        <v>43812</v>
      </c>
      <c r="D85" s="14">
        <v>12086.7</v>
      </c>
      <c r="E85" s="15">
        <v>28.93</v>
      </c>
      <c r="F85" s="16">
        <f>D85-$D$268</f>
        <v>1152.1591463414607</v>
      </c>
      <c r="G85" s="16">
        <f>E85-$E$268</f>
        <v>1.3693495934959259</v>
      </c>
      <c r="H85" s="16">
        <f t="shared" si="0"/>
        <v>1327470.6984982833</v>
      </c>
      <c r="I85" s="16">
        <f t="shared" si="1"/>
        <v>1.8751183092074575</v>
      </c>
      <c r="J85" s="20">
        <f>F85*G85</f>
        <v>1577.7086586852922</v>
      </c>
    </row>
    <row r="86" spans="3:10" ht="15.9">
      <c r="C86" s="13">
        <v>43815</v>
      </c>
      <c r="D86" s="14">
        <v>12053.95</v>
      </c>
      <c r="E86" s="17">
        <v>28.89</v>
      </c>
      <c r="F86" s="16">
        <f>D86-$D$268</f>
        <v>1119.4091463414607</v>
      </c>
      <c r="G86" s="16">
        <f>E86-$E$268</f>
        <v>1.3293495934959267</v>
      </c>
      <c r="H86" s="16">
        <f t="shared" ref="H86:H149" si="2">F86^2</f>
        <v>1253076.8369129177</v>
      </c>
      <c r="I86" s="16">
        <f t="shared" ref="I86:I149" si="3">G86^2</f>
        <v>1.7671703417277858</v>
      </c>
      <c r="J86" s="20">
        <f>F86*G86</f>
        <v>1488.0860936446431</v>
      </c>
    </row>
    <row r="87" spans="3:10" ht="15.9">
      <c r="C87" s="13">
        <v>43816</v>
      </c>
      <c r="D87" s="14">
        <v>12165</v>
      </c>
      <c r="E87" s="15">
        <v>29.08</v>
      </c>
      <c r="F87" s="16">
        <f>D87-$D$268</f>
        <v>1230.4591463414599</v>
      </c>
      <c r="G87" s="16">
        <f>E87-$E$268</f>
        <v>1.5193495934959245</v>
      </c>
      <c r="H87" s="16">
        <f t="shared" si="2"/>
        <v>1514029.7108153543</v>
      </c>
      <c r="I87" s="16">
        <f t="shared" si="3"/>
        <v>2.3084231872562309</v>
      </c>
      <c r="J87" s="20">
        <f>F87*G87</f>
        <v>1869.4976038072393</v>
      </c>
    </row>
    <row r="88" spans="3:10" ht="15.9">
      <c r="C88" s="13">
        <v>43817</v>
      </c>
      <c r="D88" s="14">
        <v>12221.65</v>
      </c>
      <c r="E88" s="17">
        <v>29.15</v>
      </c>
      <c r="F88" s="16">
        <f>D88-$D$268</f>
        <v>1287.1091463414596</v>
      </c>
      <c r="G88" s="16">
        <f>E88-$E$268</f>
        <v>1.5893495934959248</v>
      </c>
      <c r="H88" s="16">
        <f t="shared" si="2"/>
        <v>1656649.9545958408</v>
      </c>
      <c r="I88" s="16">
        <f t="shared" si="3"/>
        <v>2.5260321303456612</v>
      </c>
      <c r="J88" s="20">
        <f>F88*G88</f>
        <v>2045.6663985226855</v>
      </c>
    </row>
    <row r="89" spans="3:10" ht="15.9">
      <c r="C89" s="13">
        <v>43818</v>
      </c>
      <c r="D89" s="14">
        <v>12259.7</v>
      </c>
      <c r="E89" s="15">
        <v>29.19</v>
      </c>
      <c r="F89" s="16">
        <f>D89-$D$268</f>
        <v>1325.1591463414607</v>
      </c>
      <c r="G89" s="16">
        <f>E89-$E$268</f>
        <v>1.6293495934959275</v>
      </c>
      <c r="H89" s="16">
        <f t="shared" si="2"/>
        <v>1756046.7631324288</v>
      </c>
      <c r="I89" s="16">
        <f t="shared" si="3"/>
        <v>2.654780097825344</v>
      </c>
      <c r="J89" s="20">
        <f>F89*G89</f>
        <v>2159.1475164088693</v>
      </c>
    </row>
    <row r="90" spans="3:10" ht="15.9">
      <c r="C90" s="13">
        <v>43819</v>
      </c>
      <c r="D90" s="14">
        <v>12271.8</v>
      </c>
      <c r="E90" s="17">
        <v>29.22</v>
      </c>
      <c r="F90" s="16">
        <f>D90-$D$268</f>
        <v>1337.2591463414592</v>
      </c>
      <c r="G90" s="16">
        <f>E90-$E$268</f>
        <v>1.659349593495925</v>
      </c>
      <c r="H90" s="16">
        <f t="shared" si="2"/>
        <v>1788262.0244738881</v>
      </c>
      <c r="I90" s="16">
        <f t="shared" si="3"/>
        <v>2.7534410734350918</v>
      </c>
      <c r="J90" s="20">
        <f>F90*G90</f>
        <v>2218.980420880408</v>
      </c>
    </row>
    <row r="91" spans="3:10" ht="15.9">
      <c r="C91" s="13">
        <v>43822</v>
      </c>
      <c r="D91" s="14">
        <v>12262.75</v>
      </c>
      <c r="E91" s="15">
        <v>29.21</v>
      </c>
      <c r="F91" s="16">
        <f>D91-$D$268</f>
        <v>1328.2091463414599</v>
      </c>
      <c r="G91" s="16">
        <f>E91-$E$268</f>
        <v>1.649349593495927</v>
      </c>
      <c r="H91" s="16">
        <f t="shared" si="2"/>
        <v>1764139.5364251097</v>
      </c>
      <c r="I91" s="16">
        <f t="shared" si="3"/>
        <v>2.7203540815651799</v>
      </c>
      <c r="J91" s="20">
        <f>F91*G91</f>
        <v>2190.6812155958592</v>
      </c>
    </row>
    <row r="92" spans="3:10" ht="15.9">
      <c r="C92" s="13">
        <v>43823</v>
      </c>
      <c r="D92" s="14">
        <v>12214.55</v>
      </c>
      <c r="E92" s="15">
        <v>29.12</v>
      </c>
      <c r="F92" s="16">
        <f>D92-$D$268</f>
        <v>1280.0091463414592</v>
      </c>
      <c r="G92" s="16">
        <f>E92-$E$268</f>
        <v>1.5593495934959272</v>
      </c>
      <c r="H92" s="16">
        <f t="shared" si="2"/>
        <v>1638423.4147177911</v>
      </c>
      <c r="I92" s="16">
        <f t="shared" si="3"/>
        <v>2.4315711547359133</v>
      </c>
      <c r="J92" s="20">
        <f>F92*G92</f>
        <v>1995.9817420186232</v>
      </c>
    </row>
    <row r="93" spans="3:10" ht="15.9">
      <c r="C93" s="13">
        <v>43825</v>
      </c>
      <c r="D93" s="14">
        <v>12126.55</v>
      </c>
      <c r="E93" s="17">
        <v>29</v>
      </c>
      <c r="F93" s="16">
        <f>D93-$D$268</f>
        <v>1192.0091463414592</v>
      </c>
      <c r="G93" s="16">
        <f>E93-$E$268</f>
        <v>1.4393495934959262</v>
      </c>
      <c r="H93" s="16">
        <f t="shared" si="2"/>
        <v>1420885.8049616944</v>
      </c>
      <c r="I93" s="16">
        <f t="shared" si="3"/>
        <v>2.0717272522968879</v>
      </c>
      <c r="J93" s="20">
        <f>F93*G93</f>
        <v>1715.7178802300052</v>
      </c>
    </row>
    <row r="94" spans="3:10" ht="15.9">
      <c r="C94" s="13">
        <v>43826</v>
      </c>
      <c r="D94" s="14">
        <v>12245.8</v>
      </c>
      <c r="E94" s="15">
        <v>29.22</v>
      </c>
      <c r="F94" s="16">
        <f>D94-$D$268</f>
        <v>1311.2591463414592</v>
      </c>
      <c r="G94" s="16">
        <f>E94-$E$268</f>
        <v>1.659349593495925</v>
      </c>
      <c r="H94" s="16">
        <f t="shared" si="2"/>
        <v>1719400.5488641323</v>
      </c>
      <c r="I94" s="16">
        <f t="shared" si="3"/>
        <v>2.7534410734350918</v>
      </c>
      <c r="J94" s="20">
        <f>F94*G94</f>
        <v>2175.8373314495138</v>
      </c>
    </row>
    <row r="95" spans="3:10" ht="15.9">
      <c r="C95" s="13">
        <v>43829</v>
      </c>
      <c r="D95" s="14">
        <v>12255.85</v>
      </c>
      <c r="E95" s="17">
        <v>29.23</v>
      </c>
      <c r="F95" s="16">
        <f>D95-$D$268</f>
        <v>1321.3091463414603</v>
      </c>
      <c r="G95" s="16">
        <f>E95-$E$268</f>
        <v>1.6693495934959266</v>
      </c>
      <c r="H95" s="16">
        <f t="shared" si="2"/>
        <v>1745857.8602055986</v>
      </c>
      <c r="I95" s="16">
        <f t="shared" si="3"/>
        <v>2.7867280653050153</v>
      </c>
      <c r="J95" s="20">
        <f>F95*G95</f>
        <v>2205.7268863275667</v>
      </c>
    </row>
    <row r="96" spans="3:10" ht="15.9">
      <c r="C96" s="13">
        <v>43830</v>
      </c>
      <c r="D96" s="14">
        <v>12168.45</v>
      </c>
      <c r="E96" s="15">
        <v>29.09</v>
      </c>
      <c r="F96" s="16">
        <f>D96-$D$268</f>
        <v>1233.9091463414607</v>
      </c>
      <c r="G96" s="16">
        <f>E96-$E$268</f>
        <v>1.529349593495926</v>
      </c>
      <c r="H96" s="16">
        <f t="shared" si="2"/>
        <v>1522531.7814251122</v>
      </c>
      <c r="I96" s="16">
        <f t="shared" si="3"/>
        <v>2.3389101791261542</v>
      </c>
      <c r="J96" s="20">
        <f>F96*G96</f>
        <v>1887.0784513682179</v>
      </c>
    </row>
    <row r="97" spans="3:10" ht="15.9">
      <c r="C97" s="13">
        <v>43831</v>
      </c>
      <c r="D97" s="14">
        <v>12182.5</v>
      </c>
      <c r="E97" s="17">
        <v>29.16</v>
      </c>
      <c r="F97" s="16">
        <f>D97-$D$268</f>
        <v>1247.9591463414599</v>
      </c>
      <c r="G97" s="16">
        <f>E97-$E$268</f>
        <v>1.5993495934959263</v>
      </c>
      <c r="H97" s="16">
        <f t="shared" si="2"/>
        <v>1557402.0309373054</v>
      </c>
      <c r="I97" s="16">
        <f t="shared" si="3"/>
        <v>2.5579191222155848</v>
      </c>
      <c r="J97" s="20">
        <f>F97*G97</f>
        <v>1995.9229534007372</v>
      </c>
    </row>
    <row r="98" spans="3:10" ht="15.9">
      <c r="C98" s="13">
        <v>43832</v>
      </c>
      <c r="D98" s="14">
        <v>12282.2</v>
      </c>
      <c r="E98" s="15">
        <v>29.34</v>
      </c>
      <c r="F98" s="16">
        <f>D98-$D$268</f>
        <v>1347.6591463414607</v>
      </c>
      <c r="G98" s="16">
        <f>E98-$E$268</f>
        <v>1.779349593495926</v>
      </c>
      <c r="H98" s="16">
        <f t="shared" si="2"/>
        <v>1816185.1747177944</v>
      </c>
      <c r="I98" s="16">
        <f t="shared" si="3"/>
        <v>3.1660849758741172</v>
      </c>
      <c r="J98" s="20">
        <f>F98*G98</f>
        <v>2397.9567542137447</v>
      </c>
    </row>
    <row r="99" spans="3:10" ht="15.9">
      <c r="C99" s="13">
        <v>43833</v>
      </c>
      <c r="D99" s="14">
        <v>12226.65</v>
      </c>
      <c r="E99" s="17">
        <v>29.24</v>
      </c>
      <c r="F99" s="16">
        <f>D99-$D$268</f>
        <v>1292.1091463414596</v>
      </c>
      <c r="G99" s="16">
        <f>E99-$E$268</f>
        <v>1.6793495934959246</v>
      </c>
      <c r="H99" s="16">
        <f t="shared" si="2"/>
        <v>1669546.0460592553</v>
      </c>
      <c r="I99" s="16">
        <f t="shared" si="3"/>
        <v>2.8202150571749272</v>
      </c>
      <c r="J99" s="20">
        <f>F99*G99</f>
        <v>2169.9029696608964</v>
      </c>
    </row>
    <row r="100" spans="3:10" ht="15.9">
      <c r="C100" s="13">
        <v>43836</v>
      </c>
      <c r="D100" s="14">
        <v>11993.05</v>
      </c>
      <c r="E100" s="15">
        <v>28.76</v>
      </c>
      <c r="F100" s="16">
        <f>D100-$D$268</f>
        <v>1058.5091463414592</v>
      </c>
      <c r="G100" s="16">
        <f>E100-$E$268</f>
        <v>1.1993495934959277</v>
      </c>
      <c r="H100" s="16">
        <f t="shared" si="2"/>
        <v>1120441.6128885248</v>
      </c>
      <c r="I100" s="16">
        <f t="shared" si="3"/>
        <v>1.4384394474188471</v>
      </c>
      <c r="J100" s="20">
        <f>F100*G100</f>
        <v>1269.5225143763505</v>
      </c>
    </row>
    <row r="101" spans="3:10" ht="15.9">
      <c r="C101" s="13">
        <v>43837</v>
      </c>
      <c r="D101" s="14">
        <v>12052.95</v>
      </c>
      <c r="E101" s="17">
        <v>28.93</v>
      </c>
      <c r="F101" s="16">
        <f>D101-$D$268</f>
        <v>1118.4091463414607</v>
      </c>
      <c r="G101" s="16">
        <f>E101-$E$268</f>
        <v>1.3693495934959259</v>
      </c>
      <c r="H101" s="16">
        <f t="shared" si="2"/>
        <v>1250839.0186202347</v>
      </c>
      <c r="I101" s="16">
        <f t="shared" si="3"/>
        <v>1.8751183092074575</v>
      </c>
      <c r="J101" s="20">
        <f>F101*G101</f>
        <v>1531.4931099048047</v>
      </c>
    </row>
    <row r="102" spans="3:10" ht="15.9">
      <c r="C102" s="13">
        <v>43838</v>
      </c>
      <c r="D102" s="14">
        <v>12025.35</v>
      </c>
      <c r="E102" s="15">
        <v>28.93</v>
      </c>
      <c r="F102" s="16">
        <f>D102-$D$268</f>
        <v>1090.8091463414603</v>
      </c>
      <c r="G102" s="16">
        <f>E102-$E$268</f>
        <v>1.3693495934959259</v>
      </c>
      <c r="H102" s="16">
        <f t="shared" si="2"/>
        <v>1189864.5937421853</v>
      </c>
      <c r="I102" s="16">
        <f t="shared" si="3"/>
        <v>1.8751183092074575</v>
      </c>
      <c r="J102" s="20">
        <f>F102*G102</f>
        <v>1493.6990611243166</v>
      </c>
    </row>
    <row r="103" spans="3:10" ht="15.9">
      <c r="C103" s="13">
        <v>43839</v>
      </c>
      <c r="D103" s="14">
        <v>12215.9</v>
      </c>
      <c r="E103" s="17">
        <v>29.34</v>
      </c>
      <c r="F103" s="16">
        <f>D103-$D$268</f>
        <v>1281.3591463414596</v>
      </c>
      <c r="G103" s="16">
        <f>E103-$E$268</f>
        <v>1.779349593495926</v>
      </c>
      <c r="H103" s="16">
        <f t="shared" si="2"/>
        <v>1641881.261912914</v>
      </c>
      <c r="I103" s="16">
        <f t="shared" si="3"/>
        <v>3.1660849758741172</v>
      </c>
      <c r="J103" s="20">
        <f>F103*G103</f>
        <v>2279.985876164963</v>
      </c>
    </row>
    <row r="104" spans="3:10" ht="15.9">
      <c r="C104" s="13">
        <v>43840</v>
      </c>
      <c r="D104" s="14">
        <v>12256.8</v>
      </c>
      <c r="E104" s="15">
        <v>29.44</v>
      </c>
      <c r="F104" s="16">
        <f>D104-$D$268</f>
        <v>1322.2591463414592</v>
      </c>
      <c r="G104" s="16">
        <f>E104-$E$268</f>
        <v>1.8793495934959275</v>
      </c>
      <c r="H104" s="16">
        <f t="shared" si="2"/>
        <v>1748369.2500836444</v>
      </c>
      <c r="I104" s="16">
        <f t="shared" si="3"/>
        <v>3.5319548945733077</v>
      </c>
      <c r="J104" s="20">
        <f>F104*G104</f>
        <v>2484.9871891730936</v>
      </c>
    </row>
    <row r="105" spans="3:10" ht="15.9">
      <c r="C105" s="13">
        <v>43843</v>
      </c>
      <c r="D105" s="14">
        <v>12329.55</v>
      </c>
      <c r="E105" s="17">
        <v>29.63</v>
      </c>
      <c r="F105" s="16">
        <f>D105-$D$268</f>
        <v>1395.0091463414592</v>
      </c>
      <c r="G105" s="16">
        <f>E105-$E$268</f>
        <v>2.0693495934959252</v>
      </c>
      <c r="H105" s="16">
        <f t="shared" si="2"/>
        <v>1946050.5183763267</v>
      </c>
      <c r="I105" s="16">
        <f t="shared" si="3"/>
        <v>4.2822077401017511</v>
      </c>
      <c r="J105" s="20">
        <f>F105*G105</f>
        <v>2886.7616099047964</v>
      </c>
    </row>
    <row r="106" spans="3:10" ht="15.9">
      <c r="C106" s="13">
        <v>43844</v>
      </c>
      <c r="D106" s="14">
        <v>12362.3</v>
      </c>
      <c r="E106" s="15">
        <v>29.72</v>
      </c>
      <c r="F106" s="16">
        <f>D106-$D$268</f>
        <v>1427.7591463414592</v>
      </c>
      <c r="G106" s="16">
        <f>E106-$E$268</f>
        <v>2.159349593495925</v>
      </c>
      <c r="H106" s="16">
        <f t="shared" si="2"/>
        <v>2038496.1799616923</v>
      </c>
      <c r="I106" s="16">
        <f t="shared" si="3"/>
        <v>4.6627906669310164</v>
      </c>
      <c r="J106" s="20">
        <f>F106*G106</f>
        <v>3083.0311322625189</v>
      </c>
    </row>
    <row r="107" spans="3:10" ht="15.9">
      <c r="C107" s="13">
        <v>43845</v>
      </c>
      <c r="D107" s="14">
        <v>12343.3</v>
      </c>
      <c r="E107" s="17">
        <v>29.73</v>
      </c>
      <c r="F107" s="16">
        <f>D107-$D$268</f>
        <v>1408.7591463414592</v>
      </c>
      <c r="G107" s="16">
        <f>E107-$E$268</f>
        <v>2.1693495934959266</v>
      </c>
      <c r="H107" s="16">
        <f t="shared" si="2"/>
        <v>1984602.3324007168</v>
      </c>
      <c r="I107" s="16">
        <f t="shared" si="3"/>
        <v>4.7060776588009423</v>
      </c>
      <c r="J107" s="20">
        <f>F107*G107</f>
        <v>3056.0910814495132</v>
      </c>
    </row>
    <row r="108" spans="3:10" ht="15.9">
      <c r="C108" s="13">
        <v>43846</v>
      </c>
      <c r="D108" s="14">
        <v>12355.5</v>
      </c>
      <c r="E108" s="15">
        <v>29.83</v>
      </c>
      <c r="F108" s="16">
        <f>D108-$D$268</f>
        <v>1420.9591463414599</v>
      </c>
      <c r="G108" s="16">
        <f>E108-$E$268</f>
        <v>2.2693495934959245</v>
      </c>
      <c r="H108" s="16">
        <f t="shared" si="2"/>
        <v>2019124.8955714505</v>
      </c>
      <c r="I108" s="16">
        <f t="shared" si="3"/>
        <v>5.149947577500118</v>
      </c>
      <c r="J108" s="20">
        <f>F108*G108</f>
        <v>3224.6530611243079</v>
      </c>
    </row>
    <row r="109" spans="3:10" ht="15.9">
      <c r="C109" s="13">
        <v>43847</v>
      </c>
      <c r="D109" s="14">
        <v>12352.35</v>
      </c>
      <c r="E109" s="17">
        <v>29.84</v>
      </c>
      <c r="F109" s="16">
        <f>D109-$D$268</f>
        <v>1417.8091463414603</v>
      </c>
      <c r="G109" s="16">
        <f>E109-$E$268</f>
        <v>2.279349593495926</v>
      </c>
      <c r="H109" s="16">
        <f t="shared" si="2"/>
        <v>2010182.7754495004</v>
      </c>
      <c r="I109" s="16">
        <f t="shared" si="3"/>
        <v>5.1954345693700432</v>
      </c>
      <c r="J109" s="20">
        <f>F109*G109</f>
        <v>3231.6827013682132</v>
      </c>
    </row>
    <row r="110" spans="3:10" ht="15.9">
      <c r="C110" s="13">
        <v>43850</v>
      </c>
      <c r="D110" s="14">
        <v>12224.55</v>
      </c>
      <c r="E110" s="15">
        <v>29.59</v>
      </c>
      <c r="F110" s="16">
        <f>D110-$D$268</f>
        <v>1290.0091463414592</v>
      </c>
      <c r="G110" s="16">
        <f>E110-$E$268</f>
        <v>2.029349593495926</v>
      </c>
      <c r="H110" s="16">
        <f t="shared" si="2"/>
        <v>1664123.5976446203</v>
      </c>
      <c r="I110" s="16">
        <f t="shared" si="3"/>
        <v>4.1182597726220802</v>
      </c>
      <c r="J110" s="20">
        <f>F110*G110</f>
        <v>2617.8795367340667</v>
      </c>
    </row>
    <row r="111" spans="3:10" ht="15.9">
      <c r="C111" s="13">
        <v>43851</v>
      </c>
      <c r="D111" s="14">
        <v>12169.85</v>
      </c>
      <c r="E111" s="17">
        <v>29.48</v>
      </c>
      <c r="F111" s="16">
        <f>D111-$D$268</f>
        <v>1235.3091463414603</v>
      </c>
      <c r="G111" s="16">
        <f>E111-$E$268</f>
        <v>1.9193495934959266</v>
      </c>
      <c r="H111" s="16">
        <f t="shared" si="2"/>
        <v>1525988.6870348675</v>
      </c>
      <c r="I111" s="16">
        <f t="shared" si="3"/>
        <v>3.6839028620529786</v>
      </c>
      <c r="J111" s="20">
        <f>F111*G111</f>
        <v>2370.9901078722819</v>
      </c>
    </row>
    <row r="112" spans="3:10" ht="15.9">
      <c r="C112" s="13">
        <v>43852</v>
      </c>
      <c r="D112" s="14">
        <v>12106.9</v>
      </c>
      <c r="E112" s="15">
        <v>29.38</v>
      </c>
      <c r="F112" s="16">
        <f>D112-$D$268</f>
        <v>1172.3591463414596</v>
      </c>
      <c r="G112" s="16">
        <f>E112-$E$268</f>
        <v>1.8193495934959252</v>
      </c>
      <c r="H112" s="16">
        <f t="shared" si="2"/>
        <v>1374425.9680104759</v>
      </c>
      <c r="I112" s="16">
        <f t="shared" si="3"/>
        <v>3.3100329433537881</v>
      </c>
      <c r="J112" s="20">
        <f>F112*G112</f>
        <v>2132.9311363275642</v>
      </c>
    </row>
    <row r="113" spans="3:10" ht="15.9">
      <c r="C113" s="13">
        <v>43853</v>
      </c>
      <c r="D113" s="14">
        <v>12180.35</v>
      </c>
      <c r="E113" s="17">
        <v>29.58</v>
      </c>
      <c r="F113" s="16">
        <f>D113-$D$268</f>
        <v>1245.8091463414603</v>
      </c>
      <c r="G113" s="16">
        <f>E113-$E$268</f>
        <v>2.0193495934959245</v>
      </c>
      <c r="H113" s="16">
        <f t="shared" si="2"/>
        <v>1552040.4291080381</v>
      </c>
      <c r="I113" s="16">
        <f t="shared" si="3"/>
        <v>4.0777727807521558</v>
      </c>
      <c r="J113" s="20">
        <f>F113*G113</f>
        <v>2515.7241932381326</v>
      </c>
    </row>
    <row r="114" spans="3:10" ht="15.9">
      <c r="C114" s="13">
        <v>43854</v>
      </c>
      <c r="D114" s="14">
        <v>12248.25</v>
      </c>
      <c r="E114" s="15">
        <v>29.81</v>
      </c>
      <c r="F114" s="16">
        <f>D114-$D$268</f>
        <v>1313.7091463414599</v>
      </c>
      <c r="G114" s="16">
        <f>E114-$E$268</f>
        <v>2.2493495934959249</v>
      </c>
      <c r="H114" s="16">
        <f t="shared" si="2"/>
        <v>1725831.7211812073</v>
      </c>
      <c r="I114" s="16">
        <f t="shared" si="3"/>
        <v>5.0595735937602822</v>
      </c>
      <c r="J114" s="20">
        <f>F114*G114</f>
        <v>2954.9911342950413</v>
      </c>
    </row>
    <row r="115" spans="3:10" ht="15.9">
      <c r="C115" s="13">
        <v>43857</v>
      </c>
      <c r="D115" s="14">
        <v>12119</v>
      </c>
      <c r="E115" s="17">
        <v>29.64</v>
      </c>
      <c r="F115" s="16">
        <f>D115-$D$268</f>
        <v>1184.4591463414599</v>
      </c>
      <c r="G115" s="16">
        <f>E115-$E$268</f>
        <v>2.0793495934959267</v>
      </c>
      <c r="H115" s="16">
        <f t="shared" si="2"/>
        <v>1402943.4693519401</v>
      </c>
      <c r="I115" s="16">
        <f t="shared" si="3"/>
        <v>4.3236947319716759</v>
      </c>
      <c r="J115" s="20">
        <f>F115*G115</f>
        <v>2462.904644457647</v>
      </c>
    </row>
    <row r="116" spans="3:10" ht="15.9">
      <c r="C116" s="13">
        <v>43858</v>
      </c>
      <c r="D116" s="14">
        <v>12055.8</v>
      </c>
      <c r="E116" s="15">
        <v>29.53</v>
      </c>
      <c r="F116" s="16">
        <f>D116-$D$268</f>
        <v>1121.2591463414592</v>
      </c>
      <c r="G116" s="16">
        <f>E116-$E$268</f>
        <v>1.9693495934959273</v>
      </c>
      <c r="H116" s="16">
        <f t="shared" si="2"/>
        <v>1257222.0732543778</v>
      </c>
      <c r="I116" s="16">
        <f t="shared" si="3"/>
        <v>3.8783378214025741</v>
      </c>
      <c r="J116" s="20">
        <f>F116*G116</f>
        <v>2208.1512440511433</v>
      </c>
    </row>
    <row r="117" spans="3:10" ht="15.9">
      <c r="C117" s="13">
        <v>43859</v>
      </c>
      <c r="D117" s="14">
        <v>12129.5</v>
      </c>
      <c r="E117" s="15">
        <v>29.7</v>
      </c>
      <c r="F117" s="16">
        <f>D117-$D$268</f>
        <v>1194.9591463414599</v>
      </c>
      <c r="G117" s="16">
        <f>E117-$E$268</f>
        <v>2.1393495934959255</v>
      </c>
      <c r="H117" s="16">
        <f t="shared" si="2"/>
        <v>1427927.3614251106</v>
      </c>
      <c r="I117" s="16">
        <f t="shared" si="3"/>
        <v>4.5768166831911818</v>
      </c>
      <c r="J117" s="20">
        <f>F117*G117</f>
        <v>2556.4353639698402</v>
      </c>
    </row>
    <row r="118" spans="3:10" ht="15.9">
      <c r="C118" s="13">
        <v>43860</v>
      </c>
      <c r="D118" s="14">
        <v>12035.8</v>
      </c>
      <c r="E118" s="17">
        <v>29.54</v>
      </c>
      <c r="F118" s="16">
        <f>D118-$D$268</f>
        <v>1101.2591463414592</v>
      </c>
      <c r="G118" s="16">
        <f>E118-$E$268</f>
        <v>1.9793495934959253</v>
      </c>
      <c r="H118" s="16">
        <f t="shared" si="2"/>
        <v>1212771.7074007194</v>
      </c>
      <c r="I118" s="16">
        <f t="shared" si="3"/>
        <v>3.9178248132724849</v>
      </c>
      <c r="J118" s="20">
        <f>F118*G118</f>
        <v>2179.7768436446372</v>
      </c>
    </row>
    <row r="119" spans="3:10" ht="15.9">
      <c r="C119" s="13">
        <v>43861</v>
      </c>
      <c r="D119" s="14">
        <v>11962.1</v>
      </c>
      <c r="E119" s="15">
        <v>29.51</v>
      </c>
      <c r="F119" s="16">
        <f>D119-$D$268</f>
        <v>1027.5591463414603</v>
      </c>
      <c r="G119" s="16">
        <f>E119-$E$268</f>
        <v>1.9493495934959277</v>
      </c>
      <c r="H119" s="16">
        <f t="shared" si="2"/>
        <v>1055877.7992299907</v>
      </c>
      <c r="I119" s="16">
        <f t="shared" si="3"/>
        <v>3.7999638376627387</v>
      </c>
      <c r="J119" s="20">
        <f>F119*G119</f>
        <v>2003.0720042137482</v>
      </c>
    </row>
    <row r="120" spans="3:10" ht="15.9">
      <c r="C120" s="13">
        <v>43864</v>
      </c>
      <c r="D120" s="14">
        <v>11707.9</v>
      </c>
      <c r="E120" s="17">
        <v>29.15</v>
      </c>
      <c r="F120" s="16">
        <f>D120-$D$268</f>
        <v>773.35914634145956</v>
      </c>
      <c r="G120" s="16">
        <f>E120-$E$268</f>
        <v>1.5893495934959248</v>
      </c>
      <c r="H120" s="16">
        <f t="shared" si="2"/>
        <v>598084.36922999111</v>
      </c>
      <c r="I120" s="16">
        <f t="shared" si="3"/>
        <v>2.5260321303456612</v>
      </c>
      <c r="J120" s="20">
        <f>F120*G120</f>
        <v>1229.1380448641542</v>
      </c>
    </row>
    <row r="121" spans="3:10" ht="15.9">
      <c r="C121" s="13">
        <v>43865</v>
      </c>
      <c r="D121" s="14">
        <v>11979.65</v>
      </c>
      <c r="E121" s="15">
        <v>29.82</v>
      </c>
      <c r="F121" s="16">
        <f>D121-$D$268</f>
        <v>1045.1091463414596</v>
      </c>
      <c r="G121" s="16">
        <f>E121-$E$268</f>
        <v>2.2593495934959265</v>
      </c>
      <c r="H121" s="16">
        <f t="shared" si="2"/>
        <v>1092253.1277665743</v>
      </c>
      <c r="I121" s="16">
        <f t="shared" si="3"/>
        <v>5.1046605856302083</v>
      </c>
      <c r="J121" s="20">
        <f>F121*G121</f>
        <v>2361.2669249454516</v>
      </c>
    </row>
    <row r="122" spans="3:10" ht="15.9">
      <c r="C122" s="13">
        <v>43866</v>
      </c>
      <c r="D122" s="14">
        <v>12089.15</v>
      </c>
      <c r="E122" s="17">
        <v>30.07</v>
      </c>
      <c r="F122" s="16">
        <f>D122-$D$268</f>
        <v>1154.6091463414596</v>
      </c>
      <c r="G122" s="16">
        <f>E122-$E$268</f>
        <v>2.5093495934959265</v>
      </c>
      <c r="H122" s="16">
        <f t="shared" si="2"/>
        <v>1333122.2808153541</v>
      </c>
      <c r="I122" s="16">
        <f t="shared" si="3"/>
        <v>6.2968353823781715</v>
      </c>
      <c r="J122" s="20">
        <f>F122*G122</f>
        <v>2897.3179920186203</v>
      </c>
    </row>
    <row r="123" spans="3:10" ht="15.9">
      <c r="C123" s="13">
        <v>43867</v>
      </c>
      <c r="D123" s="14">
        <v>12137.95</v>
      </c>
      <c r="E123" s="15">
        <v>30.18</v>
      </c>
      <c r="F123" s="16">
        <f>D123-$D$268</f>
        <v>1203.4091463414607</v>
      </c>
      <c r="G123" s="16">
        <f>E123-$E$268</f>
        <v>2.6193495934959259</v>
      </c>
      <c r="H123" s="16">
        <f t="shared" si="2"/>
        <v>1448193.573498283</v>
      </c>
      <c r="I123" s="16">
        <f t="shared" si="3"/>
        <v>6.8609922929472722</v>
      </c>
      <c r="J123" s="20">
        <f>F123*G123</f>
        <v>3152.1492582787841</v>
      </c>
    </row>
    <row r="124" spans="3:10" ht="15.9">
      <c r="C124" s="13">
        <v>43868</v>
      </c>
      <c r="D124" s="14">
        <v>12098.35</v>
      </c>
      <c r="E124" s="17">
        <v>30.21</v>
      </c>
      <c r="F124" s="16">
        <f>D124-$D$268</f>
        <v>1163.8091463414603</v>
      </c>
      <c r="G124" s="16">
        <f>E124-$E$268</f>
        <v>2.649349593495927</v>
      </c>
      <c r="H124" s="16">
        <f t="shared" si="2"/>
        <v>1354451.7291080386</v>
      </c>
      <c r="I124" s="16">
        <f t="shared" si="3"/>
        <v>7.0190532685570339</v>
      </c>
      <c r="J124" s="20">
        <f>F124*G124</f>
        <v>3083.3372887665896</v>
      </c>
    </row>
    <row r="125" spans="3:10" ht="15.9">
      <c r="C125" s="13">
        <v>43871</v>
      </c>
      <c r="D125" s="14">
        <v>12031.5</v>
      </c>
      <c r="E125" s="15">
        <v>30.15</v>
      </c>
      <c r="F125" s="16">
        <f>D125-$D$268</f>
        <v>1096.9591463414599</v>
      </c>
      <c r="G125" s="16">
        <f>E125-$E$268</f>
        <v>2.5893495934959248</v>
      </c>
      <c r="H125" s="16">
        <f t="shared" si="2"/>
        <v>1203319.3687421845</v>
      </c>
      <c r="I125" s="16">
        <f t="shared" si="3"/>
        <v>6.7047313173375107</v>
      </c>
      <c r="J125" s="20">
        <f>F125*G125</f>
        <v>2840.4107196608961</v>
      </c>
    </row>
    <row r="126" spans="3:10" ht="15.9">
      <c r="C126" s="13">
        <v>43872</v>
      </c>
      <c r="D126" s="14">
        <v>12107.9</v>
      </c>
      <c r="E126" s="17">
        <v>30.21</v>
      </c>
      <c r="F126" s="16">
        <f>D126-$D$268</f>
        <v>1173.3591463414596</v>
      </c>
      <c r="G126" s="16">
        <f>E126-$E$268</f>
        <v>2.649349593495927</v>
      </c>
      <c r="H126" s="16">
        <f t="shared" si="2"/>
        <v>1376771.6863031588</v>
      </c>
      <c r="I126" s="16">
        <f t="shared" si="3"/>
        <v>7.0190532685570339</v>
      </c>
      <c r="J126" s="20">
        <f>F126*G126</f>
        <v>3108.638577384474</v>
      </c>
    </row>
    <row r="127" spans="3:10" ht="15.9">
      <c r="C127" s="13">
        <v>43873</v>
      </c>
      <c r="D127" s="14">
        <v>12201.2</v>
      </c>
      <c r="E127" s="15">
        <v>30.47</v>
      </c>
      <c r="F127" s="16">
        <f>D127-$D$268</f>
        <v>1266.6591463414607</v>
      </c>
      <c r="G127" s="16">
        <f>E127-$E$268</f>
        <v>2.909349593495925</v>
      </c>
      <c r="H127" s="16">
        <f t="shared" si="2"/>
        <v>1604425.3930104778</v>
      </c>
      <c r="I127" s="16">
        <f t="shared" si="3"/>
        <v>8.464315057174904</v>
      </c>
      <c r="J127" s="20">
        <f>F127*G127</f>
        <v>3685.1542725064241</v>
      </c>
    </row>
    <row r="128" spans="3:10" ht="15.9">
      <c r="C128" s="13">
        <v>43874</v>
      </c>
      <c r="D128" s="14">
        <v>12174.65</v>
      </c>
      <c r="E128" s="17">
        <v>30.5</v>
      </c>
      <c r="F128" s="16">
        <f>D128-$D$268</f>
        <v>1240.1091463414596</v>
      </c>
      <c r="G128" s="16">
        <f>E128-$E$268</f>
        <v>2.9393495934959262</v>
      </c>
      <c r="H128" s="16">
        <f t="shared" si="2"/>
        <v>1537870.6948397437</v>
      </c>
      <c r="I128" s="16">
        <f t="shared" si="3"/>
        <v>8.6397760327846669</v>
      </c>
      <c r="J128" s="20">
        <f>F128*G128</f>
        <v>3645.1143151893493</v>
      </c>
    </row>
    <row r="129" spans="3:10" ht="15.9">
      <c r="C129" s="13">
        <v>43875</v>
      </c>
      <c r="D129" s="14">
        <v>12113.45</v>
      </c>
      <c r="E129" s="15">
        <v>30.37</v>
      </c>
      <c r="F129" s="16">
        <f>D129-$D$268</f>
        <v>1178.9091463414607</v>
      </c>
      <c r="G129" s="16">
        <f>E129-$E$268</f>
        <v>2.8093495934959272</v>
      </c>
      <c r="H129" s="16">
        <f t="shared" si="2"/>
        <v>1389826.7753275514</v>
      </c>
      <c r="I129" s="16">
        <f t="shared" si="3"/>
        <v>7.8924451384757308</v>
      </c>
      <c r="J129" s="20">
        <f>F129*G129</f>
        <v>3311.9679310430129</v>
      </c>
    </row>
    <row r="130" spans="3:10" ht="15.9">
      <c r="C130" s="13">
        <v>43878</v>
      </c>
      <c r="D130" s="14">
        <v>12045.8</v>
      </c>
      <c r="E130" s="17">
        <v>30.2</v>
      </c>
      <c r="F130" s="16">
        <f>D130-$D$268</f>
        <v>1111.2591463414592</v>
      </c>
      <c r="G130" s="16">
        <f>E130-$E$268</f>
        <v>2.6393495934959255</v>
      </c>
      <c r="H130" s="16">
        <f t="shared" si="2"/>
        <v>1234896.8903275486</v>
      </c>
      <c r="I130" s="16">
        <f t="shared" si="3"/>
        <v>6.9661662766871073</v>
      </c>
      <c r="J130" s="20">
        <f>F130*G130</f>
        <v>2933.0013761649593</v>
      </c>
    </row>
    <row r="131" spans="3:10" ht="15.9">
      <c r="C131" s="13">
        <v>43879</v>
      </c>
      <c r="D131" s="14">
        <v>11992.5</v>
      </c>
      <c r="E131" s="15">
        <v>30.22</v>
      </c>
      <c r="F131" s="16">
        <f>D131-$D$268</f>
        <v>1057.9591463414599</v>
      </c>
      <c r="G131" s="16">
        <f>E131-$E$268</f>
        <v>2.659349593495925</v>
      </c>
      <c r="H131" s="16">
        <f t="shared" si="2"/>
        <v>1119277.5553275505</v>
      </c>
      <c r="I131" s="16">
        <f t="shared" si="3"/>
        <v>7.0721402604269414</v>
      </c>
      <c r="J131" s="20">
        <f>F131*G131</f>
        <v>2813.4832257584571</v>
      </c>
    </row>
    <row r="132" spans="3:10" ht="15.9">
      <c r="C132" s="13">
        <v>43880</v>
      </c>
      <c r="D132" s="14">
        <v>12125.9</v>
      </c>
      <c r="E132" s="17">
        <v>30.62</v>
      </c>
      <c r="F132" s="16">
        <f>D132-$D$268</f>
        <v>1191.3591463414596</v>
      </c>
      <c r="G132" s="16">
        <f>E132-$E$268</f>
        <v>3.0593495934959272</v>
      </c>
      <c r="H132" s="16">
        <f t="shared" si="2"/>
        <v>1419336.6155714514</v>
      </c>
      <c r="I132" s="16">
        <f t="shared" si="3"/>
        <v>9.3596199352236944</v>
      </c>
      <c r="J132" s="20">
        <f>F132*G132</f>
        <v>3644.7841200673993</v>
      </c>
    </row>
    <row r="133" spans="3:10" ht="15.9">
      <c r="C133" s="13">
        <v>43881</v>
      </c>
      <c r="D133" s="14">
        <v>12080.85</v>
      </c>
      <c r="E133" s="15">
        <v>30.54</v>
      </c>
      <c r="F133" s="16">
        <f>D133-$D$268</f>
        <v>1146.3091463414603</v>
      </c>
      <c r="G133" s="16">
        <f>E133-$E$268</f>
        <v>2.9793495934959253</v>
      </c>
      <c r="H133" s="16">
        <f t="shared" si="2"/>
        <v>1314024.6589860874</v>
      </c>
      <c r="I133" s="16">
        <f t="shared" si="3"/>
        <v>8.876524000264336</v>
      </c>
      <c r="J133" s="20">
        <f>F133*G133</f>
        <v>3415.255689173091</v>
      </c>
    </row>
    <row r="134" spans="3:10" ht="15.9">
      <c r="C134" s="13">
        <v>43885</v>
      </c>
      <c r="D134" s="14">
        <v>11829.4</v>
      </c>
      <c r="E134" s="17">
        <v>30.05</v>
      </c>
      <c r="F134" s="16">
        <f>D134-$D$268</f>
        <v>894.85914634145956</v>
      </c>
      <c r="G134" s="16">
        <f>E134-$E$268</f>
        <v>2.4893495934959269</v>
      </c>
      <c r="H134" s="16">
        <f t="shared" si="2"/>
        <v>800772.89179096569</v>
      </c>
      <c r="I134" s="16">
        <f t="shared" si="3"/>
        <v>6.1968613986383367</v>
      </c>
      <c r="J134" s="20">
        <f>F134*G134</f>
        <v>2227.6172521812246</v>
      </c>
    </row>
    <row r="135" spans="3:10" ht="15.9">
      <c r="C135" s="13">
        <v>43886</v>
      </c>
      <c r="D135" s="14">
        <v>11797.9</v>
      </c>
      <c r="E135" s="15">
        <v>30.01</v>
      </c>
      <c r="F135" s="16">
        <f>D135-$D$268</f>
        <v>863.35914634145956</v>
      </c>
      <c r="G135" s="16">
        <f>E135-$E$268</f>
        <v>2.4493495934959277</v>
      </c>
      <c r="H135" s="16">
        <f t="shared" si="2"/>
        <v>745389.01557145384</v>
      </c>
      <c r="I135" s="16">
        <f t="shared" si="3"/>
        <v>5.999313431158666</v>
      </c>
      <c r="J135" s="20">
        <f>F135*G135</f>
        <v>2114.668374132445</v>
      </c>
    </row>
    <row r="136" spans="3:10" ht="15.9">
      <c r="C136" s="13">
        <v>43887</v>
      </c>
      <c r="D136" s="14">
        <v>11678.5</v>
      </c>
      <c r="E136" s="17">
        <v>29.78</v>
      </c>
      <c r="F136" s="16">
        <f>D136-$D$268</f>
        <v>743.95914634145993</v>
      </c>
      <c r="G136" s="16">
        <f>E136-$E$268</f>
        <v>2.2193495934959273</v>
      </c>
      <c r="H136" s="16">
        <f t="shared" si="2"/>
        <v>553475.21142511384</v>
      </c>
      <c r="I136" s="16">
        <f t="shared" si="3"/>
        <v>4.9255126181505382</v>
      </c>
      <c r="J136" s="20">
        <f>F136*G136</f>
        <v>1651.1054290104962</v>
      </c>
    </row>
    <row r="137" spans="3:10" ht="15.9">
      <c r="C137" s="13">
        <v>43888</v>
      </c>
      <c r="D137" s="14">
        <v>11633.3</v>
      </c>
      <c r="E137" s="15">
        <v>29.71</v>
      </c>
      <c r="F137" s="16">
        <f>D137-$D$268</f>
        <v>698.7591463414592</v>
      </c>
      <c r="G137" s="16">
        <f>E137-$E$268</f>
        <v>2.149349593495927</v>
      </c>
      <c r="H137" s="16">
        <f t="shared" si="2"/>
        <v>488264.3445958448</v>
      </c>
      <c r="I137" s="16">
        <f t="shared" si="3"/>
        <v>4.6197036750611069</v>
      </c>
      <c r="J137" s="20">
        <f>F137*G137</f>
        <v>1501.8776871405764</v>
      </c>
    </row>
    <row r="138" spans="3:10" ht="15.9">
      <c r="C138" s="13">
        <v>43889</v>
      </c>
      <c r="D138" s="14">
        <v>11201.75</v>
      </c>
      <c r="E138" s="17">
        <v>28.76</v>
      </c>
      <c r="F138" s="16">
        <f>D138-$D$268</f>
        <v>267.20914634145993</v>
      </c>
      <c r="G138" s="16">
        <f>E138-$E$268</f>
        <v>1.1993495934959277</v>
      </c>
      <c r="H138" s="16">
        <f t="shared" si="2"/>
        <v>71400.72788853175</v>
      </c>
      <c r="I138" s="16">
        <f t="shared" si="3"/>
        <v>1.4384394474188471</v>
      </c>
      <c r="J138" s="20">
        <f>F138*G138</f>
        <v>320.47718104302385</v>
      </c>
    </row>
    <row r="139" spans="3:10" ht="15.9">
      <c r="C139" s="13">
        <v>43892</v>
      </c>
      <c r="D139" s="14">
        <v>11132.75</v>
      </c>
      <c r="E139" s="15">
        <v>28.57</v>
      </c>
      <c r="F139" s="16">
        <f>D139-$D$268</f>
        <v>198.20914634145993</v>
      </c>
      <c r="G139" s="16">
        <f>E139-$E$268</f>
        <v>1.0093495934959265</v>
      </c>
      <c r="H139" s="16">
        <f t="shared" si="2"/>
        <v>39286.865693410276</v>
      </c>
      <c r="I139" s="16">
        <f t="shared" si="3"/>
        <v>1.0187866018903919</v>
      </c>
      <c r="J139" s="20">
        <f>F139*G139</f>
        <v>200.06232128692719</v>
      </c>
    </row>
    <row r="140" spans="3:10" ht="15.9">
      <c r="C140" s="13">
        <v>43893</v>
      </c>
      <c r="D140" s="14">
        <v>11303.3</v>
      </c>
      <c r="E140" s="17">
        <v>28.96</v>
      </c>
      <c r="F140" s="16">
        <f>D140-$D$268</f>
        <v>368.7591463414592</v>
      </c>
      <c r="G140" s="16">
        <f>E140-$E$268</f>
        <v>1.399349593495927</v>
      </c>
      <c r="H140" s="16">
        <f t="shared" si="2"/>
        <v>135983.30801048173</v>
      </c>
      <c r="I140" s="16">
        <f t="shared" si="3"/>
        <v>1.9581792848172161</v>
      </c>
      <c r="J140" s="20">
        <f>F140*G140</f>
        <v>516.02296153082602</v>
      </c>
    </row>
    <row r="141" spans="3:10" ht="15.9">
      <c r="C141" s="13">
        <v>43894</v>
      </c>
      <c r="D141" s="14">
        <v>11251</v>
      </c>
      <c r="E141" s="15">
        <v>28.7</v>
      </c>
      <c r="F141" s="16">
        <f>D141-$D$268</f>
        <v>316.45914634145993</v>
      </c>
      <c r="G141" s="16">
        <f>E141-$E$268</f>
        <v>1.1393495934959255</v>
      </c>
      <c r="H141" s="16">
        <f t="shared" si="2"/>
        <v>100146.39130316555</v>
      </c>
      <c r="I141" s="16">
        <f t="shared" si="3"/>
        <v>1.2981174961993307</v>
      </c>
      <c r="J141" s="20">
        <f>F141*G141</f>
        <v>360.55759974220996</v>
      </c>
    </row>
    <row r="142" spans="3:10" ht="15.9">
      <c r="C142" s="13">
        <v>43895</v>
      </c>
      <c r="D142" s="14">
        <v>11269</v>
      </c>
      <c r="E142" s="15">
        <v>28.8</v>
      </c>
      <c r="F142" s="16">
        <f>D142-$D$268</f>
        <v>334.45914634145993</v>
      </c>
      <c r="G142" s="16">
        <f>E142-$E$268</f>
        <v>1.2393495934959269</v>
      </c>
      <c r="H142" s="16">
        <f t="shared" si="2"/>
        <v>111862.9205714581</v>
      </c>
      <c r="I142" s="16">
        <f t="shared" si="3"/>
        <v>1.5359874148985193</v>
      </c>
      <c r="J142" s="20">
        <f>F142*G142</f>
        <v>414.51180705928306</v>
      </c>
    </row>
    <row r="143" spans="3:10" ht="15.9">
      <c r="C143" s="13">
        <v>43896</v>
      </c>
      <c r="D143" s="14">
        <v>10989.45</v>
      </c>
      <c r="E143" s="17">
        <v>28.33</v>
      </c>
      <c r="F143" s="16">
        <f>D143-$D$268</f>
        <v>54.909146341460655</v>
      </c>
      <c r="G143" s="16">
        <f>E143-$E$268</f>
        <v>0.76934959349592447</v>
      </c>
      <c r="H143" s="16">
        <f t="shared" si="2"/>
        <v>3015.014351947942</v>
      </c>
      <c r="I143" s="16">
        <f t="shared" si="3"/>
        <v>0.59189879701234427</v>
      </c>
      <c r="J143" s="20">
        <f>F143*G143</f>
        <v>42.244329417010981</v>
      </c>
    </row>
    <row r="144" spans="3:10" ht="15.9">
      <c r="C144" s="13">
        <v>43899</v>
      </c>
      <c r="D144" s="14">
        <v>10451.450000000001</v>
      </c>
      <c r="E144" s="15">
        <v>27.2</v>
      </c>
      <c r="F144" s="16">
        <f>D144-$D$268</f>
        <v>-483.09085365853934</v>
      </c>
      <c r="G144" s="16">
        <f>E144-$E$268</f>
        <v>-0.36065040650407454</v>
      </c>
      <c r="H144" s="16">
        <f t="shared" si="2"/>
        <v>233376.77288853627</v>
      </c>
      <c r="I144" s="16">
        <f t="shared" si="3"/>
        <v>0.13006871571155421</v>
      </c>
      <c r="J144" s="20">
        <f>F144*G144</f>
        <v>174.2269127503526</v>
      </c>
    </row>
    <row r="145" spans="3:10" ht="15.9">
      <c r="C145" s="13">
        <v>43901</v>
      </c>
      <c r="D145" s="14">
        <v>10458.4</v>
      </c>
      <c r="E145" s="17">
        <v>27.2</v>
      </c>
      <c r="F145" s="16">
        <f>D145-$D$268</f>
        <v>-476.14085365854044</v>
      </c>
      <c r="G145" s="16">
        <f>E145-$E$268</f>
        <v>-0.36065040650407454</v>
      </c>
      <c r="H145" s="16">
        <f t="shared" si="2"/>
        <v>226710.11252268363</v>
      </c>
      <c r="I145" s="16">
        <f t="shared" si="3"/>
        <v>0.13006871571155421</v>
      </c>
      <c r="J145" s="20">
        <f>F145*G145</f>
        <v>171.72039242514967</v>
      </c>
    </row>
    <row r="146" spans="3:10" ht="15.9">
      <c r="C146" s="13">
        <v>43902</v>
      </c>
      <c r="D146" s="14">
        <v>9590.15</v>
      </c>
      <c r="E146" s="15">
        <v>25.28</v>
      </c>
      <c r="F146" s="16">
        <f>D146-$D$268</f>
        <v>-1344.3908536585404</v>
      </c>
      <c r="G146" s="16">
        <f>E146-$E$268</f>
        <v>-2.2806504065040727</v>
      </c>
      <c r="H146" s="16">
        <f t="shared" si="2"/>
        <v>1807386.767400739</v>
      </c>
      <c r="I146" s="16">
        <f t="shared" si="3"/>
        <v>5.2013662766871924</v>
      </c>
      <c r="J146" s="20">
        <f>F146*G146</f>
        <v>3066.0855468967075</v>
      </c>
    </row>
    <row r="147" spans="3:10" ht="15.9">
      <c r="C147" s="13">
        <v>43903</v>
      </c>
      <c r="D147" s="14">
        <v>9955.2000000000007</v>
      </c>
      <c r="E147" s="17">
        <v>26.11</v>
      </c>
      <c r="F147" s="16">
        <f>D147-$D$268</f>
        <v>-979.34085365853934</v>
      </c>
      <c r="G147" s="16">
        <f>E147-$E$268</f>
        <v>-1.4506504065040744</v>
      </c>
      <c r="H147" s="16">
        <f t="shared" si="2"/>
        <v>959108.50764463656</v>
      </c>
      <c r="I147" s="16">
        <f t="shared" si="3"/>
        <v>2.1043866018904365</v>
      </c>
      <c r="J147" s="20">
        <f>F147*G147</f>
        <v>1420.6812074658073</v>
      </c>
    </row>
    <row r="148" spans="3:10" ht="15.9">
      <c r="C148" s="13">
        <v>43906</v>
      </c>
      <c r="D148" s="14">
        <v>9197.4</v>
      </c>
      <c r="E148" s="15">
        <v>24.49</v>
      </c>
      <c r="F148" s="16">
        <f>D148-$D$268</f>
        <v>-1737.1408536585404</v>
      </c>
      <c r="G148" s="16">
        <f>E148-$E$268</f>
        <v>-3.0706504065040754</v>
      </c>
      <c r="H148" s="16">
        <f t="shared" si="2"/>
        <v>3017658.3454495226</v>
      </c>
      <c r="I148" s="16">
        <f t="shared" si="3"/>
        <v>9.4288939189636434</v>
      </c>
      <c r="J148" s="20">
        <f>F148*G148</f>
        <v>5334.152268441434</v>
      </c>
    </row>
    <row r="149" spans="3:10" ht="15.9">
      <c r="C149" s="13">
        <v>43907</v>
      </c>
      <c r="D149" s="14">
        <v>8967.0499999999993</v>
      </c>
      <c r="E149" s="17">
        <v>23.98</v>
      </c>
      <c r="F149" s="16">
        <f>D149-$D$268</f>
        <v>-1967.4908536585408</v>
      </c>
      <c r="G149" s="16">
        <f>E149-$E$268</f>
        <v>-3.5806504065040734</v>
      </c>
      <c r="H149" s="16">
        <f t="shared" si="2"/>
        <v>3871020.2592300135</v>
      </c>
      <c r="I149" s="16">
        <f t="shared" si="3"/>
        <v>12.821057333597786</v>
      </c>
      <c r="J149" s="20">
        <f>F149*G149</f>
        <v>7044.8969249455004</v>
      </c>
    </row>
    <row r="150" spans="3:10" ht="15.9">
      <c r="C150" s="13">
        <v>43908</v>
      </c>
      <c r="D150" s="14">
        <v>8468.7999999999993</v>
      </c>
      <c r="E150" s="15">
        <v>22.73</v>
      </c>
      <c r="F150" s="16">
        <f>D150-$D$268</f>
        <v>-2465.7408536585408</v>
      </c>
      <c r="G150" s="16">
        <f>E150-$E$268</f>
        <v>-4.8306504065040734</v>
      </c>
      <c r="H150" s="16">
        <f t="shared" ref="H150:H213" si="4">F150^2</f>
        <v>6079877.9574007494</v>
      </c>
      <c r="I150" s="16">
        <f t="shared" ref="I150:I213" si="5">G150^2</f>
        <v>23.335183349857971</v>
      </c>
      <c r="J150" s="20">
        <f>F150*G150</f>
        <v>11911.132057059331</v>
      </c>
    </row>
    <row r="151" spans="3:10" ht="15.9">
      <c r="C151" s="13">
        <v>43909</v>
      </c>
      <c r="D151" s="14">
        <v>8263.4500000000007</v>
      </c>
      <c r="E151" s="17">
        <v>22.27</v>
      </c>
      <c r="F151" s="16">
        <f>D151-$D$268</f>
        <v>-2671.0908536585393</v>
      </c>
      <c r="G151" s="16">
        <f>E151-$E$268</f>
        <v>-5.2906504065040743</v>
      </c>
      <c r="H151" s="16">
        <f t="shared" si="4"/>
        <v>7134726.3484983044</v>
      </c>
      <c r="I151" s="16">
        <f t="shared" si="5"/>
        <v>27.990981723841728</v>
      </c>
      <c r="J151" s="20">
        <f>F151*G151</f>
        <v>14131.807910717866</v>
      </c>
    </row>
    <row r="152" spans="3:10" ht="15.9">
      <c r="C152" s="13">
        <v>43910</v>
      </c>
      <c r="D152" s="14">
        <v>8745.4500000000007</v>
      </c>
      <c r="E152" s="15">
        <v>23.49</v>
      </c>
      <c r="F152" s="16">
        <f>D152-$D$268</f>
        <v>-2189.0908536585393</v>
      </c>
      <c r="G152" s="16">
        <f>E152-$E$268</f>
        <v>-4.0706504065040754</v>
      </c>
      <c r="H152" s="16">
        <f t="shared" si="4"/>
        <v>4792118.7655714722</v>
      </c>
      <c r="I152" s="16">
        <f t="shared" si="5"/>
        <v>16.570194731971796</v>
      </c>
      <c r="J152" s="20">
        <f>F152*G152</f>
        <v>8911.0235733194859</v>
      </c>
    </row>
    <row r="153" spans="3:10" ht="15.9">
      <c r="C153" s="13">
        <v>43913</v>
      </c>
      <c r="D153" s="14">
        <v>7610.25</v>
      </c>
      <c r="E153" s="17">
        <v>20.65</v>
      </c>
      <c r="F153" s="16">
        <f>D153-$D$268</f>
        <v>-3324.2908536585401</v>
      </c>
      <c r="G153" s="16">
        <f>E153-$E$268</f>
        <v>-6.9106504065040752</v>
      </c>
      <c r="H153" s="16">
        <f t="shared" si="4"/>
        <v>11050909.679717826</v>
      </c>
      <c r="I153" s="16">
        <f t="shared" si="5"/>
        <v>47.757089040914941</v>
      </c>
      <c r="J153" s="20">
        <f>F153*G153</f>
        <v>22973.011939173168</v>
      </c>
    </row>
    <row r="154" spans="3:10" ht="15.9">
      <c r="C154" s="13">
        <v>43914</v>
      </c>
      <c r="D154" s="14">
        <v>7801.05</v>
      </c>
      <c r="E154" s="15">
        <v>21.18</v>
      </c>
      <c r="F154" s="16">
        <f>D154-$D$268</f>
        <v>-3133.4908536585399</v>
      </c>
      <c r="G154" s="16">
        <f>E154-$E$268</f>
        <v>-6.3806504065040741</v>
      </c>
      <c r="H154" s="16">
        <f t="shared" si="4"/>
        <v>9818764.9299617242</v>
      </c>
      <c r="I154" s="16">
        <f t="shared" si="5"/>
        <v>40.712699610020607</v>
      </c>
      <c r="J154" s="20">
        <f>F154*G154</f>
        <v>19993.70968917316</v>
      </c>
    </row>
    <row r="155" spans="3:10" ht="15.9">
      <c r="C155" s="13">
        <v>43915</v>
      </c>
      <c r="D155" s="14">
        <v>8317.85</v>
      </c>
      <c r="E155" s="17">
        <v>22.37</v>
      </c>
      <c r="F155" s="16">
        <f>D155-$D$268</f>
        <v>-2616.6908536585397</v>
      </c>
      <c r="G155" s="16">
        <f>E155-$E$268</f>
        <v>-5.1906504065040728</v>
      </c>
      <c r="H155" s="16">
        <f t="shared" si="4"/>
        <v>6847071.0236202572</v>
      </c>
      <c r="I155" s="16">
        <f t="shared" si="5"/>
        <v>26.942851642540898</v>
      </c>
      <c r="J155" s="20">
        <f>F155*G155</f>
        <v>13582.327443238188</v>
      </c>
    </row>
    <row r="156" spans="3:10" ht="15.9">
      <c r="C156" s="13">
        <v>43916</v>
      </c>
      <c r="D156" s="14">
        <v>8641.4500000000007</v>
      </c>
      <c r="E156" s="15">
        <v>23.17</v>
      </c>
      <c r="F156" s="16">
        <f>D156-$D$268</f>
        <v>-2293.0908536585393</v>
      </c>
      <c r="G156" s="16">
        <f>E156-$E$268</f>
        <v>-4.3906504065040721</v>
      </c>
      <c r="H156" s="16">
        <f t="shared" si="4"/>
        <v>5258265.6631324487</v>
      </c>
      <c r="I156" s="16">
        <f t="shared" si="5"/>
        <v>19.277810992134373</v>
      </c>
      <c r="J156" s="20">
        <f>F156*G156</f>
        <v>10068.160288766636</v>
      </c>
    </row>
    <row r="157" spans="3:10" ht="15.9">
      <c r="C157" s="13">
        <v>43917</v>
      </c>
      <c r="D157" s="14">
        <v>8660.25</v>
      </c>
      <c r="E157" s="17">
        <v>23.12</v>
      </c>
      <c r="F157" s="16">
        <f>D157-$D$268</f>
        <v>-2274.2908536585401</v>
      </c>
      <c r="G157" s="16">
        <f>E157-$E$268</f>
        <v>-4.4406504065040728</v>
      </c>
      <c r="H157" s="16">
        <f t="shared" si="4"/>
        <v>5172398.8870348912</v>
      </c>
      <c r="I157" s="16">
        <f t="shared" si="5"/>
        <v>19.719376032784787</v>
      </c>
      <c r="J157" s="20">
        <f>F157*G157</f>
        <v>10099.330603807291</v>
      </c>
    </row>
    <row r="158" spans="3:10" ht="15.9">
      <c r="C158" s="13">
        <v>43920</v>
      </c>
      <c r="D158" s="14">
        <v>8281.1</v>
      </c>
      <c r="E158" s="15">
        <v>22.34</v>
      </c>
      <c r="F158" s="16">
        <f>D158-$D$268</f>
        <v>-2653.4408536585397</v>
      </c>
      <c r="G158" s="16">
        <f>E158-$E$268</f>
        <v>-5.220650406504074</v>
      </c>
      <c r="H158" s="16">
        <f t="shared" si="4"/>
        <v>7040748.3638641601</v>
      </c>
      <c r="I158" s="16">
        <f t="shared" si="5"/>
        <v>27.255190666931153</v>
      </c>
      <c r="J158" s="20">
        <f>F158*G158</f>
        <v>13852.687071286973</v>
      </c>
    </row>
    <row r="159" spans="3:10" ht="15.9">
      <c r="C159" s="13">
        <v>43921</v>
      </c>
      <c r="D159" s="14">
        <v>8597.75</v>
      </c>
      <c r="E159" s="17">
        <v>23.09</v>
      </c>
      <c r="F159" s="16">
        <f>D159-$D$268</f>
        <v>-2336.7908536585401</v>
      </c>
      <c r="G159" s="16">
        <f>E159-$E$268</f>
        <v>-4.470650406504074</v>
      </c>
      <c r="H159" s="16">
        <f t="shared" si="4"/>
        <v>5460591.493742208</v>
      </c>
      <c r="I159" s="16">
        <f t="shared" si="5"/>
        <v>19.986715057175044</v>
      </c>
      <c r="J159" s="20">
        <f>F159*G159</f>
        <v>10446.974979823553</v>
      </c>
    </row>
    <row r="160" spans="3:10" ht="15.9">
      <c r="C160" s="13">
        <v>43922</v>
      </c>
      <c r="D160" s="14">
        <v>8253.7999999999993</v>
      </c>
      <c r="E160" s="15">
        <v>22.34</v>
      </c>
      <c r="F160" s="16">
        <f>D160-$D$268</f>
        <v>-2680.7408536585408</v>
      </c>
      <c r="G160" s="16">
        <f>E160-$E$268</f>
        <v>-5.220650406504074</v>
      </c>
      <c r="H160" s="16">
        <f t="shared" si="4"/>
        <v>7186371.5244739223</v>
      </c>
      <c r="I160" s="16">
        <f t="shared" si="5"/>
        <v>27.255190666931153</v>
      </c>
      <c r="J160" s="20">
        <f>F160*G160</f>
        <v>13995.210827384539</v>
      </c>
    </row>
    <row r="161" spans="3:10" ht="15.9">
      <c r="C161" s="13">
        <v>43924</v>
      </c>
      <c r="D161" s="14">
        <v>8083.8</v>
      </c>
      <c r="E161" s="17">
        <v>21.91</v>
      </c>
      <c r="F161" s="16">
        <f>D161-$D$268</f>
        <v>-2850.7408536585399</v>
      </c>
      <c r="G161" s="16">
        <f>E161-$E$268</f>
        <v>-5.6506504065040737</v>
      </c>
      <c r="H161" s="16">
        <f t="shared" si="4"/>
        <v>8126723.4147178205</v>
      </c>
      <c r="I161" s="16">
        <f t="shared" si="5"/>
        <v>31.929850016524654</v>
      </c>
      <c r="J161" s="20">
        <f>F161*G161</f>
        <v>16108.539963563398</v>
      </c>
    </row>
    <row r="162" spans="3:10" ht="15.9">
      <c r="C162" s="13">
        <v>43928</v>
      </c>
      <c r="D162" s="14">
        <v>8792.2000000000007</v>
      </c>
      <c r="E162" s="15">
        <v>23.57</v>
      </c>
      <c r="F162" s="16">
        <f>D162-$D$268</f>
        <v>-2142.3408536585393</v>
      </c>
      <c r="G162" s="16">
        <f>E162-$E$268</f>
        <v>-3.9906504065040735</v>
      </c>
      <c r="H162" s="16">
        <f t="shared" si="4"/>
        <v>4589624.3332543988</v>
      </c>
      <c r="I162" s="16">
        <f t="shared" si="5"/>
        <v>15.925290666931128</v>
      </c>
      <c r="J162" s="20">
        <f>F162*G162</f>
        <v>8549.3333985227346</v>
      </c>
    </row>
    <row r="163" spans="3:10" ht="15.9">
      <c r="C163" s="13">
        <v>43929</v>
      </c>
      <c r="D163" s="14">
        <v>8748.75</v>
      </c>
      <c r="E163" s="17">
        <v>23.65</v>
      </c>
      <c r="F163" s="16">
        <f>D163-$D$268</f>
        <v>-2185.7908536585401</v>
      </c>
      <c r="G163" s="16">
        <f>E163-$E$268</f>
        <v>-3.9106504065040752</v>
      </c>
      <c r="H163" s="16">
        <f t="shared" si="4"/>
        <v>4777681.6559373289</v>
      </c>
      <c r="I163" s="16">
        <f t="shared" si="5"/>
        <v>15.29318660189049</v>
      </c>
      <c r="J163" s="20">
        <f>F163*G163</f>
        <v>8547.8638903926585</v>
      </c>
    </row>
    <row r="164" spans="3:10" ht="15.9">
      <c r="C164" s="13">
        <v>43930</v>
      </c>
      <c r="D164" s="14">
        <v>9111.9</v>
      </c>
      <c r="E164" s="15">
        <v>24.56</v>
      </c>
      <c r="F164" s="16">
        <f>D164-$D$268</f>
        <v>-1822.6408536585404</v>
      </c>
      <c r="G164" s="16">
        <f>E164-$E$268</f>
        <v>-3.0006504065040751</v>
      </c>
      <c r="H164" s="16">
        <f t="shared" si="4"/>
        <v>3322019.6814251328</v>
      </c>
      <c r="I164" s="16">
        <f t="shared" si="5"/>
        <v>9.0039028620530708</v>
      </c>
      <c r="J164" s="20">
        <f>F164*G164</f>
        <v>5469.1080184414341</v>
      </c>
    </row>
    <row r="165" spans="3:10" ht="15.9">
      <c r="C165" s="13">
        <v>43934</v>
      </c>
      <c r="D165" s="14">
        <v>8993.85</v>
      </c>
      <c r="E165" s="17">
        <v>24.27</v>
      </c>
      <c r="F165" s="16">
        <f>D165-$D$268</f>
        <v>-1940.6908536585397</v>
      </c>
      <c r="G165" s="16">
        <f>E165-$E$268</f>
        <v>-3.2906504065040743</v>
      </c>
      <c r="H165" s="16">
        <f t="shared" si="4"/>
        <v>3766280.9894739115</v>
      </c>
      <c r="I165" s="16">
        <f t="shared" si="5"/>
        <v>10.828380097825429</v>
      </c>
      <c r="J165" s="20">
        <f>F165*G165</f>
        <v>6386.1351464902127</v>
      </c>
    </row>
    <row r="166" spans="3:10" ht="15.9">
      <c r="C166" s="13">
        <v>43936</v>
      </c>
      <c r="D166" s="14">
        <v>8925.2999999999993</v>
      </c>
      <c r="E166" s="15">
        <v>24.13</v>
      </c>
      <c r="F166" s="16">
        <f>D166-$D$268</f>
        <v>-2009.2408536585408</v>
      </c>
      <c r="G166" s="16">
        <f>E166-$E$268</f>
        <v>-3.4306504065040748</v>
      </c>
      <c r="H166" s="16">
        <f t="shared" si="4"/>
        <v>4037048.8080105018</v>
      </c>
      <c r="I166" s="16">
        <f t="shared" si="5"/>
        <v>11.769362211646573</v>
      </c>
      <c r="J166" s="20">
        <f>F166*G166</f>
        <v>6893.0029513682675</v>
      </c>
    </row>
    <row r="167" spans="3:10" ht="15.9">
      <c r="C167" s="13">
        <v>43937</v>
      </c>
      <c r="D167" s="14">
        <v>8992.7999999999993</v>
      </c>
      <c r="E167" s="15">
        <v>24.31</v>
      </c>
      <c r="F167" s="16">
        <f>D167-$D$268</f>
        <v>-1941.7408536585408</v>
      </c>
      <c r="G167" s="16">
        <f>E167-$E$268</f>
        <v>-3.2506504065040751</v>
      </c>
      <c r="H167" s="16">
        <f t="shared" si="4"/>
        <v>3770357.542766599</v>
      </c>
      <c r="I167" s="16">
        <f t="shared" si="5"/>
        <v>10.566728065305108</v>
      </c>
      <c r="J167" s="20">
        <f>F167*G167</f>
        <v>6311.9206952707054</v>
      </c>
    </row>
    <row r="168" spans="3:10" ht="15.9">
      <c r="C168" s="13">
        <v>43938</v>
      </c>
      <c r="D168" s="14">
        <v>9266.75</v>
      </c>
      <c r="E168" s="17">
        <v>24.89</v>
      </c>
      <c r="F168" s="16">
        <f>D168-$D$268</f>
        <v>-1667.7908536585401</v>
      </c>
      <c r="G168" s="16">
        <f>E168-$E$268</f>
        <v>-2.6706504065040733</v>
      </c>
      <c r="H168" s="16">
        <f t="shared" si="4"/>
        <v>2781526.3315470819</v>
      </c>
      <c r="I168" s="16">
        <f t="shared" si="5"/>
        <v>7.1323735937603718</v>
      </c>
      <c r="J168" s="20">
        <f>F168*G168</f>
        <v>4454.0863212869554</v>
      </c>
    </row>
    <row r="169" spans="3:10" ht="15.9">
      <c r="C169" s="13">
        <v>43941</v>
      </c>
      <c r="D169" s="14">
        <v>9261.85</v>
      </c>
      <c r="E169" s="15">
        <v>24.91</v>
      </c>
      <c r="F169" s="16">
        <f>D169-$D$268</f>
        <v>-1672.6908536585397</v>
      </c>
      <c r="G169" s="16">
        <f>E169-$E$268</f>
        <v>-2.6506504065040737</v>
      </c>
      <c r="H169" s="16">
        <f t="shared" si="4"/>
        <v>2797894.6919129342</v>
      </c>
      <c r="I169" s="16">
        <f t="shared" si="5"/>
        <v>7.0259475775002107</v>
      </c>
      <c r="J169" s="20">
        <f>F169*G169</f>
        <v>4433.7186912056541</v>
      </c>
    </row>
    <row r="170" spans="3:10" ht="15.9">
      <c r="C170" s="13">
        <v>43942</v>
      </c>
      <c r="D170" s="14">
        <v>8981.4500000000007</v>
      </c>
      <c r="E170" s="17">
        <v>24.33</v>
      </c>
      <c r="F170" s="16">
        <f>D170-$D$268</f>
        <v>-1953.0908536585393</v>
      </c>
      <c r="G170" s="16">
        <f>E170-$E$268</f>
        <v>-3.2306504065040755</v>
      </c>
      <c r="H170" s="16">
        <f t="shared" si="4"/>
        <v>3814563.8826446421</v>
      </c>
      <c r="I170" s="16">
        <f t="shared" si="5"/>
        <v>10.437102049044949</v>
      </c>
      <c r="J170" s="20">
        <f>F170*G170</f>
        <v>6309.7537603113524</v>
      </c>
    </row>
    <row r="171" spans="3:10" ht="15.9">
      <c r="C171" s="13">
        <v>43943</v>
      </c>
      <c r="D171" s="14">
        <v>9187.2999999999993</v>
      </c>
      <c r="E171" s="15">
        <v>24.75</v>
      </c>
      <c r="F171" s="16">
        <f>D171-$D$268</f>
        <v>-1747.2408536585408</v>
      </c>
      <c r="G171" s="16">
        <f>E171-$E$268</f>
        <v>-2.8106504065040738</v>
      </c>
      <c r="H171" s="16">
        <f t="shared" si="4"/>
        <v>3052850.6006934266</v>
      </c>
      <c r="I171" s="16">
        <f t="shared" si="5"/>
        <v>7.899755707581515</v>
      </c>
      <c r="J171" s="20">
        <f>F171*G171</f>
        <v>4910.8832155959026</v>
      </c>
    </row>
    <row r="172" spans="3:10" ht="15.9">
      <c r="C172" s="13">
        <v>43944</v>
      </c>
      <c r="D172" s="14">
        <v>9313.9</v>
      </c>
      <c r="E172" s="17">
        <v>24.99</v>
      </c>
      <c r="F172" s="16">
        <f>D172-$D$268</f>
        <v>-1620.6408536585404</v>
      </c>
      <c r="G172" s="16">
        <f>E172-$E$268</f>
        <v>-2.5706504065040754</v>
      </c>
      <c r="H172" s="16">
        <f t="shared" si="4"/>
        <v>2626476.7765470827</v>
      </c>
      <c r="I172" s="16">
        <f t="shared" si="5"/>
        <v>6.608243512459568</v>
      </c>
      <c r="J172" s="20">
        <f>F172*G172</f>
        <v>4166.1010692544387</v>
      </c>
    </row>
    <row r="173" spans="3:10" ht="15.9">
      <c r="C173" s="13">
        <v>43945</v>
      </c>
      <c r="D173" s="14">
        <v>9154.4</v>
      </c>
      <c r="E173" s="15">
        <v>24.64</v>
      </c>
      <c r="F173" s="16">
        <f>D173-$D$268</f>
        <v>-1780.1408536585404</v>
      </c>
      <c r="G173" s="16">
        <f>E173-$E$268</f>
        <v>-2.9206504065040733</v>
      </c>
      <c r="H173" s="16">
        <f t="shared" si="4"/>
        <v>3168901.4588641571</v>
      </c>
      <c r="I173" s="16">
        <f t="shared" si="5"/>
        <v>8.5301987970124085</v>
      </c>
      <c r="J173" s="20">
        <f>F173*G173</f>
        <v>5199.1691078723243</v>
      </c>
    </row>
    <row r="174" spans="3:10" ht="15.9">
      <c r="C174" s="13">
        <v>43948</v>
      </c>
      <c r="D174" s="14">
        <v>9282.2999999999993</v>
      </c>
      <c r="E174" s="17">
        <v>24.96</v>
      </c>
      <c r="F174" s="16">
        <f>D174-$D$268</f>
        <v>-1652.2408536585408</v>
      </c>
      <c r="G174" s="16">
        <f>E174-$E$268</f>
        <v>-2.600650406504073</v>
      </c>
      <c r="H174" s="16">
        <f t="shared" si="4"/>
        <v>2729899.8384983037</v>
      </c>
      <c r="I174" s="16">
        <f t="shared" si="5"/>
        <v>6.7633825368498002</v>
      </c>
      <c r="J174" s="20">
        <f>F174*G174</f>
        <v>4296.9008477097204</v>
      </c>
    </row>
    <row r="175" spans="3:10" ht="15.9">
      <c r="C175" s="13">
        <v>43949</v>
      </c>
      <c r="D175" s="14">
        <v>9380.9</v>
      </c>
      <c r="E175" s="15">
        <v>25.12</v>
      </c>
      <c r="F175" s="16">
        <f>D175-$D$268</f>
        <v>-1553.6408536585404</v>
      </c>
      <c r="G175" s="16">
        <f>E175-$E$268</f>
        <v>-2.4406504065040728</v>
      </c>
      <c r="H175" s="16">
        <f t="shared" si="4"/>
        <v>2413799.9021568382</v>
      </c>
      <c r="I175" s="16">
        <f t="shared" si="5"/>
        <v>5.9567744067684956</v>
      </c>
      <c r="J175" s="20">
        <f>F175*G175</f>
        <v>3791.8941810430515</v>
      </c>
    </row>
    <row r="176" spans="3:10" ht="15.9">
      <c r="C176" s="13">
        <v>43950</v>
      </c>
      <c r="D176" s="14">
        <v>9553.35</v>
      </c>
      <c r="E176" s="17">
        <v>25.49</v>
      </c>
      <c r="F176" s="16">
        <f>D176-$D$268</f>
        <v>-1381.1908536585397</v>
      </c>
      <c r="G176" s="16">
        <f>E176-$E$268</f>
        <v>-2.0706504065040754</v>
      </c>
      <c r="H176" s="16">
        <f t="shared" si="4"/>
        <v>1907688.1742300056</v>
      </c>
      <c r="I176" s="16">
        <f t="shared" si="5"/>
        <v>4.2875931059554926</v>
      </c>
      <c r="J176" s="20">
        <f>F176*G176</f>
        <v>2859.9634025877663</v>
      </c>
    </row>
    <row r="177" spans="3:10" ht="15.9">
      <c r="C177" s="13">
        <v>43951</v>
      </c>
      <c r="D177" s="14">
        <v>9859.9</v>
      </c>
      <c r="E177" s="15">
        <v>26.09</v>
      </c>
      <c r="F177" s="16">
        <f>D177-$D$268</f>
        <v>-1074.6408536585404</v>
      </c>
      <c r="G177" s="16">
        <f>E177-$E$268</f>
        <v>-1.470650406504074</v>
      </c>
      <c r="H177" s="16">
        <f t="shared" si="4"/>
        <v>1154852.9643519565</v>
      </c>
      <c r="I177" s="16">
        <f t="shared" si="5"/>
        <v>2.162812618150598</v>
      </c>
      <c r="J177" s="20">
        <f>F177*G177</f>
        <v>1580.4210082788175</v>
      </c>
    </row>
    <row r="178" spans="3:10" ht="15.9">
      <c r="C178" s="13">
        <v>43955</v>
      </c>
      <c r="D178" s="14">
        <v>9293.5</v>
      </c>
      <c r="E178" s="17">
        <v>24.88</v>
      </c>
      <c r="F178" s="16">
        <f>D178-$D$268</f>
        <v>-1641.0408536585401</v>
      </c>
      <c r="G178" s="16">
        <f>E178-$E$268</f>
        <v>-2.6806504065040748</v>
      </c>
      <c r="H178" s="16">
        <f t="shared" si="4"/>
        <v>2693015.0833763499</v>
      </c>
      <c r="I178" s="16">
        <f t="shared" si="5"/>
        <v>7.1858866018904619</v>
      </c>
      <c r="J178" s="20">
        <f>F178*G178</f>
        <v>4399.0568314495595</v>
      </c>
    </row>
    <row r="179" spans="3:10" ht="15.9">
      <c r="C179" s="13">
        <v>43956</v>
      </c>
      <c r="D179" s="14">
        <v>9205.6</v>
      </c>
      <c r="E179" s="15">
        <v>24.59</v>
      </c>
      <c r="F179" s="16">
        <f>D179-$D$268</f>
        <v>-1728.9408536585397</v>
      </c>
      <c r="G179" s="16">
        <f>E179-$E$268</f>
        <v>-2.970650406504074</v>
      </c>
      <c r="H179" s="16">
        <f t="shared" si="4"/>
        <v>2989236.4754495202</v>
      </c>
      <c r="I179" s="16">
        <f t="shared" si="5"/>
        <v>8.8247638376628199</v>
      </c>
      <c r="J179" s="20">
        <f>F179*G179</f>
        <v>5136.0788497422418</v>
      </c>
    </row>
    <row r="180" spans="3:10" ht="15.9">
      <c r="C180" s="13">
        <v>43957</v>
      </c>
      <c r="D180" s="14">
        <v>9270.9</v>
      </c>
      <c r="E180" s="17">
        <v>24.77</v>
      </c>
      <c r="F180" s="16">
        <f>D180-$D$268</f>
        <v>-1663.6408536585404</v>
      </c>
      <c r="G180" s="16">
        <f>E180-$E$268</f>
        <v>-2.7906504065040743</v>
      </c>
      <c r="H180" s="16">
        <f t="shared" si="4"/>
        <v>2767700.8899617172</v>
      </c>
      <c r="I180" s="16">
        <f t="shared" si="5"/>
        <v>7.7877296913213545</v>
      </c>
      <c r="J180" s="20">
        <f>F180*G180</f>
        <v>4642.6400245389914</v>
      </c>
    </row>
    <row r="181" spans="3:10" ht="15.9">
      <c r="C181" s="13">
        <v>43958</v>
      </c>
      <c r="D181" s="14">
        <v>9199.0499999999993</v>
      </c>
      <c r="E181" s="15">
        <v>24.56</v>
      </c>
      <c r="F181" s="16">
        <f>D181-$D$268</f>
        <v>-1735.4908536585408</v>
      </c>
      <c r="G181" s="16">
        <f>E181-$E$268</f>
        <v>-3.0006504065040751</v>
      </c>
      <c r="H181" s="16">
        <f t="shared" si="4"/>
        <v>3011928.5031324509</v>
      </c>
      <c r="I181" s="16">
        <f t="shared" si="5"/>
        <v>9.0039028620530708</v>
      </c>
      <c r="J181" s="20">
        <f>F181*G181</f>
        <v>5207.6013355146051</v>
      </c>
    </row>
    <row r="182" spans="3:10" ht="15.9">
      <c r="C182" s="13">
        <v>43959</v>
      </c>
      <c r="D182" s="14">
        <v>9251.5</v>
      </c>
      <c r="E182" s="17">
        <v>24.73</v>
      </c>
      <c r="F182" s="16">
        <f>D182-$D$268</f>
        <v>-1683.0408536585401</v>
      </c>
      <c r="G182" s="16">
        <f>E182-$E$268</f>
        <v>-2.8306504065040734</v>
      </c>
      <c r="H182" s="16">
        <f t="shared" si="4"/>
        <v>2832626.5150836674</v>
      </c>
      <c r="I182" s="16">
        <f t="shared" si="5"/>
        <v>8.0125817238416754</v>
      </c>
      <c r="J182" s="20">
        <f>F182*G182</f>
        <v>4764.1002765715093</v>
      </c>
    </row>
    <row r="183" spans="3:10" ht="15.9">
      <c r="C183" s="13">
        <v>43962</v>
      </c>
      <c r="D183" s="14">
        <v>9239.2000000000007</v>
      </c>
      <c r="E183" s="15">
        <v>24.8</v>
      </c>
      <c r="F183" s="16">
        <f>D183-$D$268</f>
        <v>-1695.3408536585393</v>
      </c>
      <c r="G183" s="16">
        <f>E183-$E$268</f>
        <v>-2.7606504065040731</v>
      </c>
      <c r="H183" s="16">
        <f t="shared" si="4"/>
        <v>2874180.6100836648</v>
      </c>
      <c r="I183" s="16">
        <f t="shared" si="5"/>
        <v>7.6211906669311045</v>
      </c>
      <c r="J183" s="20">
        <f>F183*G183</f>
        <v>4680.2434168154086</v>
      </c>
    </row>
    <row r="184" spans="3:10" ht="15.9">
      <c r="C184" s="13">
        <v>43963</v>
      </c>
      <c r="D184" s="14">
        <v>9196.5499999999993</v>
      </c>
      <c r="E184" s="17">
        <v>24.73</v>
      </c>
      <c r="F184" s="16">
        <f>D184-$D$268</f>
        <v>-1737.9908536585408</v>
      </c>
      <c r="G184" s="16">
        <f>E184-$E$268</f>
        <v>-2.8306504065040734</v>
      </c>
      <c r="H184" s="16">
        <f t="shared" si="4"/>
        <v>3020612.2074007434</v>
      </c>
      <c r="I184" s="16">
        <f t="shared" si="5"/>
        <v>8.0125817238416754</v>
      </c>
      <c r="J184" s="20">
        <f>F184*G184</f>
        <v>4919.64451640891</v>
      </c>
    </row>
    <row r="185" spans="3:10" ht="15.9">
      <c r="C185" s="13">
        <v>43964</v>
      </c>
      <c r="D185" s="14">
        <v>9383.5499999999993</v>
      </c>
      <c r="E185" s="15">
        <v>25.11</v>
      </c>
      <c r="F185" s="16">
        <f>D185-$D$268</f>
        <v>-1550.9908536585408</v>
      </c>
      <c r="G185" s="16">
        <f>E185-$E$268</f>
        <v>-2.4506504065040744</v>
      </c>
      <c r="H185" s="16">
        <f t="shared" si="4"/>
        <v>2405572.628132449</v>
      </c>
      <c r="I185" s="16">
        <f t="shared" si="5"/>
        <v>6.0056874148985848</v>
      </c>
      <c r="J185" s="20">
        <f>F185*G185</f>
        <v>3800.9363660024042</v>
      </c>
    </row>
    <row r="186" spans="3:10" ht="15.9">
      <c r="C186" s="13">
        <v>43965</v>
      </c>
      <c r="D186" s="14">
        <v>9142.75</v>
      </c>
      <c r="E186" s="17">
        <v>24.67</v>
      </c>
      <c r="F186" s="16">
        <f>D186-$D$268</f>
        <v>-1791.7908536585401</v>
      </c>
      <c r="G186" s="16">
        <f>E186-$E$268</f>
        <v>-2.8906504065040721</v>
      </c>
      <c r="H186" s="16">
        <f t="shared" si="4"/>
        <v>3210514.4632543996</v>
      </c>
      <c r="I186" s="16">
        <f t="shared" si="5"/>
        <v>8.3558597726221571</v>
      </c>
      <c r="J186" s="20">
        <f>F186*G186</f>
        <v>5179.4409594983372</v>
      </c>
    </row>
    <row r="187" spans="3:10" ht="15.9">
      <c r="C187" s="13">
        <v>43966</v>
      </c>
      <c r="D187" s="14">
        <v>9136.85</v>
      </c>
      <c r="E187" s="15">
        <v>24.6</v>
      </c>
      <c r="F187" s="16">
        <f>D187-$D$268</f>
        <v>-1797.6908536585397</v>
      </c>
      <c r="G187" s="16">
        <f>E187-$E$268</f>
        <v>-2.9606504065040724</v>
      </c>
      <c r="H187" s="16">
        <f t="shared" si="4"/>
        <v>3231692.4053275692</v>
      </c>
      <c r="I187" s="16">
        <f t="shared" si="5"/>
        <v>8.76545082953273</v>
      </c>
      <c r="J187" s="20">
        <f>F187*G187</f>
        <v>5322.3341566528088</v>
      </c>
    </row>
    <row r="188" spans="3:10" ht="15.9">
      <c r="C188" s="13">
        <v>43969</v>
      </c>
      <c r="D188" s="14">
        <v>8823.25</v>
      </c>
      <c r="E188" s="17">
        <v>23.85</v>
      </c>
      <c r="F188" s="16">
        <f>D188-$D$268</f>
        <v>-2111.2908536585401</v>
      </c>
      <c r="G188" s="16">
        <f>E188-$E$268</f>
        <v>-3.7106504065040724</v>
      </c>
      <c r="H188" s="16">
        <f t="shared" si="4"/>
        <v>4457549.0687422073</v>
      </c>
      <c r="I188" s="16">
        <f t="shared" si="5"/>
        <v>13.768926439288839</v>
      </c>
      <c r="J188" s="20">
        <f>F188*G188</f>
        <v>7834.2622643763916</v>
      </c>
    </row>
    <row r="189" spans="3:10" ht="15.9">
      <c r="C189" s="13">
        <v>43970</v>
      </c>
      <c r="D189" s="14">
        <v>8879.1</v>
      </c>
      <c r="E189" s="15">
        <v>23.99</v>
      </c>
      <c r="F189" s="16">
        <f>D189-$D$268</f>
        <v>-2055.4408536585397</v>
      </c>
      <c r="G189" s="16">
        <f>E189-$E$268</f>
        <v>-3.5706504065040754</v>
      </c>
      <c r="H189" s="16">
        <f t="shared" si="4"/>
        <v>4224837.1028885469</v>
      </c>
      <c r="I189" s="16">
        <f t="shared" si="5"/>
        <v>12.749544325467719</v>
      </c>
      <c r="J189" s="20">
        <f>F189*G189</f>
        <v>7339.2607196609488</v>
      </c>
    </row>
    <row r="190" spans="3:10" ht="15.9">
      <c r="C190" s="13">
        <v>43971</v>
      </c>
      <c r="D190" s="14">
        <v>9066.5499999999993</v>
      </c>
      <c r="E190" s="17">
        <v>24.45</v>
      </c>
      <c r="F190" s="16">
        <f>D190-$D$268</f>
        <v>-1867.9908536585408</v>
      </c>
      <c r="G190" s="16">
        <f>E190-$E$268</f>
        <v>-3.1106504065040745</v>
      </c>
      <c r="H190" s="16">
        <f t="shared" si="4"/>
        <v>3489389.8293519639</v>
      </c>
      <c r="I190" s="16">
        <f t="shared" si="5"/>
        <v>9.6761459514839636</v>
      </c>
      <c r="J190" s="20">
        <f>F190*G190</f>
        <v>5810.6665082788331</v>
      </c>
    </row>
    <row r="191" spans="3:10" ht="15.9">
      <c r="C191" s="13">
        <v>43972</v>
      </c>
      <c r="D191" s="14">
        <v>9106.25</v>
      </c>
      <c r="E191" s="15">
        <v>24.57</v>
      </c>
      <c r="F191" s="16">
        <f>D191-$D$268</f>
        <v>-1828.2908536585401</v>
      </c>
      <c r="G191" s="16">
        <f>E191-$E$268</f>
        <v>-2.9906504065040735</v>
      </c>
      <c r="H191" s="16">
        <f t="shared" si="4"/>
        <v>3342647.4455714733</v>
      </c>
      <c r="I191" s="16">
        <f t="shared" si="5"/>
        <v>8.9439898539229805</v>
      </c>
      <c r="J191" s="20">
        <f>F191*G191</f>
        <v>5467.7787847015925</v>
      </c>
    </row>
    <row r="192" spans="3:10" ht="15.9">
      <c r="C192" s="13">
        <v>43973</v>
      </c>
      <c r="D192" s="14">
        <v>9039.25</v>
      </c>
      <c r="E192" s="15">
        <v>24.44</v>
      </c>
      <c r="F192" s="16">
        <f>D192-$D$268</f>
        <v>-1895.2908536585401</v>
      </c>
      <c r="G192" s="16">
        <f>E192-$E$268</f>
        <v>-3.1206504065040725</v>
      </c>
      <c r="H192" s="16">
        <f t="shared" si="4"/>
        <v>3592127.4199617174</v>
      </c>
      <c r="I192" s="16">
        <f t="shared" si="5"/>
        <v>9.7384589596140341</v>
      </c>
      <c r="J192" s="20">
        <f>F192*G192</f>
        <v>5914.5401729129735</v>
      </c>
    </row>
    <row r="193" spans="3:10" ht="15.9">
      <c r="C193" s="13">
        <v>43977</v>
      </c>
      <c r="D193" s="14">
        <v>9029.0499999999993</v>
      </c>
      <c r="E193" s="17">
        <v>24.36</v>
      </c>
      <c r="F193" s="16">
        <f>D193-$D$268</f>
        <v>-1905.4908536585408</v>
      </c>
      <c r="G193" s="16">
        <f>E193-$E$268</f>
        <v>-3.2006504065040744</v>
      </c>
      <c r="H193" s="16">
        <f t="shared" si="4"/>
        <v>3630895.3933763546</v>
      </c>
      <c r="I193" s="16">
        <f t="shared" si="5"/>
        <v>10.244163024654696</v>
      </c>
      <c r="J193" s="20">
        <f>F193*G193</f>
        <v>6098.8100753520048</v>
      </c>
    </row>
    <row r="194" spans="3:10" ht="15.9">
      <c r="C194" s="13">
        <v>43978</v>
      </c>
      <c r="D194" s="14">
        <v>9314.9500000000007</v>
      </c>
      <c r="E194" s="15">
        <v>24.82</v>
      </c>
      <c r="F194" s="16">
        <f>D194-$D$268</f>
        <v>-1619.5908536585393</v>
      </c>
      <c r="G194" s="16">
        <f>E194-$E$268</f>
        <v>-2.7406504065040735</v>
      </c>
      <c r="H194" s="16">
        <f t="shared" si="4"/>
        <v>2623074.5332543962</v>
      </c>
      <c r="I194" s="16">
        <f t="shared" si="5"/>
        <v>7.5111646506709437</v>
      </c>
      <c r="J194" s="20">
        <f>F194*G194</f>
        <v>4438.7323314495552</v>
      </c>
    </row>
    <row r="195" spans="3:10" ht="15.9">
      <c r="C195" s="13">
        <v>43979</v>
      </c>
      <c r="D195" s="14">
        <v>9490.1</v>
      </c>
      <c r="E195" s="17">
        <v>25.26</v>
      </c>
      <c r="F195" s="16">
        <f>D195-$D$268</f>
        <v>-1444.4408536585397</v>
      </c>
      <c r="G195" s="16">
        <f>E195-$E$268</f>
        <v>-2.3006504065040723</v>
      </c>
      <c r="H195" s="16">
        <f t="shared" si="4"/>
        <v>2086409.379717811</v>
      </c>
      <c r="I195" s="16">
        <f t="shared" si="5"/>
        <v>5.2929922929473525</v>
      </c>
      <c r="J195" s="20">
        <f>F195*G195</f>
        <v>3323.1534371406087</v>
      </c>
    </row>
    <row r="196" spans="3:10" ht="15.9">
      <c r="C196" s="13">
        <v>43980</v>
      </c>
      <c r="D196" s="14">
        <v>9580.2999999999993</v>
      </c>
      <c r="E196" s="15">
        <v>25.48</v>
      </c>
      <c r="F196" s="16">
        <f>D196-$D$268</f>
        <v>-1354.2408536585408</v>
      </c>
      <c r="G196" s="16">
        <f>E196-$E$268</f>
        <v>-2.0806504065040734</v>
      </c>
      <c r="H196" s="16">
        <f t="shared" si="4"/>
        <v>1833968.2897178133</v>
      </c>
      <c r="I196" s="16">
        <f t="shared" si="5"/>
        <v>4.3291061140855662</v>
      </c>
      <c r="J196" s="20">
        <f>F196*G196</f>
        <v>2817.7017826690662</v>
      </c>
    </row>
    <row r="197" spans="3:10" ht="15.9">
      <c r="C197" s="13">
        <v>43983</v>
      </c>
      <c r="D197" s="14">
        <v>9826.15</v>
      </c>
      <c r="E197" s="17">
        <v>26.03</v>
      </c>
      <c r="F197" s="16">
        <f>D197-$D$268</f>
        <v>-1108.3908536585404</v>
      </c>
      <c r="G197" s="16">
        <f>E197-$E$268</f>
        <v>-1.5306504065040727</v>
      </c>
      <c r="H197" s="16">
        <f t="shared" si="4"/>
        <v>1228530.2844739079</v>
      </c>
      <c r="I197" s="16">
        <f t="shared" si="5"/>
        <v>2.3428906669310829</v>
      </c>
      <c r="J197" s="20">
        <f>F197*G197</f>
        <v>1696.5589107178412</v>
      </c>
    </row>
    <row r="198" spans="3:10" ht="15.9">
      <c r="C198" s="13">
        <v>43984</v>
      </c>
      <c r="D198" s="14">
        <v>9979.1</v>
      </c>
      <c r="E198" s="15">
        <v>26.37</v>
      </c>
      <c r="F198" s="16">
        <f>D198-$D$268</f>
        <v>-955.44085365853971</v>
      </c>
      <c r="G198" s="16">
        <f>E198-$E$268</f>
        <v>-1.1906504065040728</v>
      </c>
      <c r="H198" s="16">
        <f t="shared" si="4"/>
        <v>912867.22483975906</v>
      </c>
      <c r="I198" s="16">
        <f t="shared" si="5"/>
        <v>1.4176483905083139</v>
      </c>
      <c r="J198" s="20">
        <f>F198*G198</f>
        <v>1137.5960407991386</v>
      </c>
    </row>
    <row r="199" spans="3:10" ht="15.9">
      <c r="C199" s="13">
        <v>43985</v>
      </c>
      <c r="D199" s="14">
        <v>10061.549999999999</v>
      </c>
      <c r="E199" s="17">
        <v>26.6</v>
      </c>
      <c r="F199" s="16">
        <f>D199-$D$268</f>
        <v>-872.9908536585408</v>
      </c>
      <c r="G199" s="16">
        <f>E199-$E$268</f>
        <v>-0.96065040650407241</v>
      </c>
      <c r="H199" s="16">
        <f t="shared" si="4"/>
        <v>762113.03057146783</v>
      </c>
      <c r="I199" s="16">
        <f t="shared" si="5"/>
        <v>0.92284920351643951</v>
      </c>
      <c r="J199" s="20">
        <f>F199*G199</f>
        <v>838.63901844141435</v>
      </c>
    </row>
    <row r="200" spans="3:10" ht="15.9">
      <c r="C200" s="13">
        <v>43986</v>
      </c>
      <c r="D200" s="14">
        <v>10029.1</v>
      </c>
      <c r="E200" s="15">
        <v>26.55</v>
      </c>
      <c r="F200" s="16">
        <f>D200-$D$268</f>
        <v>-905.44085365853971</v>
      </c>
      <c r="G200" s="16">
        <f>E200-$E$268</f>
        <v>-1.0106504065040731</v>
      </c>
      <c r="H200" s="16">
        <f t="shared" si="4"/>
        <v>819823.13947390509</v>
      </c>
      <c r="I200" s="16">
        <f t="shared" si="5"/>
        <v>1.0214142441668483</v>
      </c>
      <c r="J200" s="20">
        <f>F200*G200</f>
        <v>915.08416681539813</v>
      </c>
    </row>
    <row r="201" spans="3:10" ht="15.9">
      <c r="C201" s="13">
        <v>43987</v>
      </c>
      <c r="D201" s="14">
        <v>10142.15</v>
      </c>
      <c r="E201" s="17">
        <v>26.78</v>
      </c>
      <c r="F201" s="16">
        <f>D201-$D$268</f>
        <v>-792.39085365854044</v>
      </c>
      <c r="G201" s="16">
        <f>E201-$E$268</f>
        <v>-0.78065040650407269</v>
      </c>
      <c r="H201" s="16">
        <f t="shared" si="4"/>
        <v>627883.26496171043</v>
      </c>
      <c r="I201" s="16">
        <f t="shared" si="5"/>
        <v>0.60941505717497391</v>
      </c>
      <c r="J201" s="20">
        <f>F201*G201</f>
        <v>618.58024201864873</v>
      </c>
    </row>
    <row r="202" spans="3:10" ht="15.9">
      <c r="C202" s="13">
        <v>43990</v>
      </c>
      <c r="D202" s="14">
        <v>10167.450000000001</v>
      </c>
      <c r="E202" s="15">
        <v>26.74</v>
      </c>
      <c r="F202" s="16">
        <f>D202-$D$268</f>
        <v>-767.09085365853934</v>
      </c>
      <c r="G202" s="16">
        <f>E202-$E$268</f>
        <v>-0.82065040650407539</v>
      </c>
      <c r="H202" s="16">
        <f t="shared" si="4"/>
        <v>588428.37776658661</v>
      </c>
      <c r="I202" s="16">
        <f t="shared" si="5"/>
        <v>0.67346708969530422</v>
      </c>
      <c r="J202" s="20">
        <f>F202*G202</f>
        <v>629.5134208804385</v>
      </c>
    </row>
    <row r="203" spans="3:10" ht="15.9">
      <c r="C203" s="13">
        <v>43991</v>
      </c>
      <c r="D203" s="14">
        <v>10046.65</v>
      </c>
      <c r="E203" s="17">
        <v>26.5</v>
      </c>
      <c r="F203" s="16">
        <f>D203-$D$268</f>
        <v>-887.89085365854044</v>
      </c>
      <c r="G203" s="16">
        <f>E203-$E$268</f>
        <v>-1.0606504065040738</v>
      </c>
      <c r="H203" s="16">
        <f t="shared" si="4"/>
        <v>788350.16801049164</v>
      </c>
      <c r="I203" s="16">
        <f t="shared" si="5"/>
        <v>1.1249792848172571</v>
      </c>
      <c r="J203" s="20">
        <f>F203*G203</f>
        <v>941.74179486418006</v>
      </c>
    </row>
    <row r="204" spans="3:10" ht="15.9">
      <c r="C204" s="13">
        <v>43992</v>
      </c>
      <c r="D204" s="14">
        <v>10116.15</v>
      </c>
      <c r="E204" s="15">
        <v>26.59</v>
      </c>
      <c r="F204" s="16">
        <f>D204-$D$268</f>
        <v>-818.39085365854044</v>
      </c>
      <c r="G204" s="16">
        <f>E204-$E$268</f>
        <v>-0.97065040650407397</v>
      </c>
      <c r="H204" s="16">
        <f t="shared" si="4"/>
        <v>669763.58935195452</v>
      </c>
      <c r="I204" s="16">
        <f t="shared" si="5"/>
        <v>0.94216221164652403</v>
      </c>
      <c r="J204" s="20">
        <f>F204*G204</f>
        <v>794.37141478287833</v>
      </c>
    </row>
    <row r="205" spans="3:10" ht="15.9">
      <c r="C205" s="13">
        <v>43993</v>
      </c>
      <c r="D205" s="14">
        <v>9902</v>
      </c>
      <c r="E205" s="17">
        <v>26.14</v>
      </c>
      <c r="F205" s="16">
        <f>D205-$D$268</f>
        <v>-1032.5408536585401</v>
      </c>
      <c r="G205" s="16">
        <f>E205-$E$268</f>
        <v>-1.4206504065040733</v>
      </c>
      <c r="H205" s="16">
        <f t="shared" si="4"/>
        <v>1066140.6144739066</v>
      </c>
      <c r="I205" s="16">
        <f t="shared" si="5"/>
        <v>2.0182475775001887</v>
      </c>
      <c r="J205" s="20">
        <f>F205*G205</f>
        <v>1466.8795834820678</v>
      </c>
    </row>
    <row r="206" spans="3:10" ht="15.9">
      <c r="C206" s="13">
        <v>43994</v>
      </c>
      <c r="D206" s="14">
        <v>9972.9</v>
      </c>
      <c r="E206" s="15">
        <v>26.36</v>
      </c>
      <c r="F206" s="16">
        <f>D206-$D$268</f>
        <v>-961.64085365854044</v>
      </c>
      <c r="G206" s="16">
        <f>E206-$E$268</f>
        <v>-1.2006504065040744</v>
      </c>
      <c r="H206" s="16">
        <f t="shared" si="4"/>
        <v>924753.13142512634</v>
      </c>
      <c r="I206" s="16">
        <f t="shared" si="5"/>
        <v>1.441561398638399</v>
      </c>
      <c r="J206" s="20">
        <f>F206*G206</f>
        <v>1154.5944818560517</v>
      </c>
    </row>
    <row r="207" spans="3:10" ht="15.9">
      <c r="C207" s="13">
        <v>43997</v>
      </c>
      <c r="D207" s="14">
        <v>9813.7000000000007</v>
      </c>
      <c r="E207" s="17">
        <v>26.01</v>
      </c>
      <c r="F207" s="16">
        <f>D207-$D$268</f>
        <v>-1120.8408536585393</v>
      </c>
      <c r="G207" s="16">
        <f>E207-$E$268</f>
        <v>-1.5506504065040723</v>
      </c>
      <c r="H207" s="16">
        <f t="shared" si="4"/>
        <v>1256284.2192300032</v>
      </c>
      <c r="I207" s="16">
        <f t="shared" si="5"/>
        <v>2.4045166831912446</v>
      </c>
      <c r="J207" s="20">
        <f>F207*G207</f>
        <v>1738.0323253519855</v>
      </c>
    </row>
    <row r="208" spans="3:10" ht="15.9">
      <c r="C208" s="13">
        <v>43998</v>
      </c>
      <c r="D208" s="14">
        <v>9914</v>
      </c>
      <c r="E208" s="15">
        <v>26.24</v>
      </c>
      <c r="F208" s="16">
        <f>D208-$D$268</f>
        <v>-1020.5408536585401</v>
      </c>
      <c r="G208" s="16">
        <f>E208-$E$268</f>
        <v>-1.3206504065040754</v>
      </c>
      <c r="H208" s="16">
        <f t="shared" si="4"/>
        <v>1041503.6339861017</v>
      </c>
      <c r="I208" s="16">
        <f t="shared" si="5"/>
        <v>1.7441174961993795</v>
      </c>
      <c r="J208" s="20">
        <f>F208*G208</f>
        <v>1347.7776932381671</v>
      </c>
    </row>
    <row r="209" spans="3:10" ht="15.9">
      <c r="C209" s="13">
        <v>43999</v>
      </c>
      <c r="D209" s="14">
        <v>9881.15</v>
      </c>
      <c r="E209" s="17">
        <v>26.15</v>
      </c>
      <c r="F209" s="16">
        <f>D209-$D$268</f>
        <v>-1053.3908536585404</v>
      </c>
      <c r="G209" s="16">
        <f>E209-$E$268</f>
        <v>-1.4106504065040752</v>
      </c>
      <c r="H209" s="16">
        <f t="shared" si="4"/>
        <v>1109632.2905714686</v>
      </c>
      <c r="I209" s="16">
        <f t="shared" si="5"/>
        <v>1.9899345693701127</v>
      </c>
      <c r="J209" s="20">
        <f>F209*G209</f>
        <v>1485.9662359210949</v>
      </c>
    </row>
    <row r="210" spans="3:10" ht="15.9">
      <c r="C210" s="13">
        <v>44000</v>
      </c>
      <c r="D210" s="14">
        <v>10091.65</v>
      </c>
      <c r="E210" s="15">
        <v>26.5</v>
      </c>
      <c r="F210" s="16">
        <f>D210-$D$268</f>
        <v>-842.89085365854044</v>
      </c>
      <c r="G210" s="16">
        <f>E210-$E$268</f>
        <v>-1.0606504065040738</v>
      </c>
      <c r="H210" s="16">
        <f t="shared" si="4"/>
        <v>710464.99118122307</v>
      </c>
      <c r="I210" s="16">
        <f t="shared" si="5"/>
        <v>1.1249792848172571</v>
      </c>
      <c r="J210" s="20">
        <f>F210*G210</f>
        <v>894.01252657149666</v>
      </c>
    </row>
    <row r="211" spans="3:10" ht="15.9">
      <c r="C211" s="13">
        <v>44001</v>
      </c>
      <c r="D211" s="14">
        <v>10244.4</v>
      </c>
      <c r="E211" s="17">
        <v>26.81</v>
      </c>
      <c r="F211" s="16">
        <f>D211-$D$268</f>
        <v>-690.14085365854044</v>
      </c>
      <c r="G211" s="16">
        <f>E211-$E$268</f>
        <v>-0.75065040650407511</v>
      </c>
      <c r="H211" s="16">
        <f t="shared" si="4"/>
        <v>476294.39788853895</v>
      </c>
      <c r="I211" s="16">
        <f t="shared" si="5"/>
        <v>0.56347603278473324</v>
      </c>
      <c r="J211" s="20">
        <f>F211*G211</f>
        <v>518.05451234385282</v>
      </c>
    </row>
    <row r="212" spans="3:10" ht="15.9">
      <c r="C212" s="13">
        <v>44004</v>
      </c>
      <c r="D212" s="14">
        <v>10311.200000000001</v>
      </c>
      <c r="E212" s="15">
        <v>26.97</v>
      </c>
      <c r="F212" s="16">
        <f>D212-$D$268</f>
        <v>-623.34085365853934</v>
      </c>
      <c r="G212" s="16">
        <f>E212-$E$268</f>
        <v>-0.59065040650407497</v>
      </c>
      <c r="H212" s="16">
        <f t="shared" si="4"/>
        <v>388553.81983975659</v>
      </c>
      <c r="I212" s="16">
        <f t="shared" si="5"/>
        <v>0.34886790270342899</v>
      </c>
      <c r="J212" s="20">
        <f>F212*G212</f>
        <v>368.17652860401336</v>
      </c>
    </row>
    <row r="213" spans="3:10" ht="15.9">
      <c r="C213" s="13">
        <v>44005</v>
      </c>
      <c r="D213" s="14">
        <v>10471</v>
      </c>
      <c r="E213" s="17">
        <v>27.37</v>
      </c>
      <c r="F213" s="16">
        <f>D213-$D$268</f>
        <v>-463.54085365854007</v>
      </c>
      <c r="G213" s="16">
        <f>E213-$E$268</f>
        <v>-0.19065040650407283</v>
      </c>
      <c r="H213" s="16">
        <f t="shared" si="4"/>
        <v>214870.12301048805</v>
      </c>
      <c r="I213" s="16">
        <f t="shared" si="5"/>
        <v>3.6347577500168218E-2</v>
      </c>
      <c r="J213" s="20">
        <f>F213*G213</f>
        <v>88.374252181245595</v>
      </c>
    </row>
    <row r="214" spans="3:10" ht="15.9">
      <c r="C214" s="13">
        <v>44006</v>
      </c>
      <c r="D214" s="14">
        <v>10305.299999999999</v>
      </c>
      <c r="E214" s="15">
        <v>27.03</v>
      </c>
      <c r="F214" s="16">
        <f>D214-$D$268</f>
        <v>-629.2408536585408</v>
      </c>
      <c r="G214" s="16">
        <f>E214-$E$268</f>
        <v>-0.53065040650407269</v>
      </c>
      <c r="H214" s="16">
        <f t="shared" ref="H214:H266" si="6">F214^2</f>
        <v>395944.05191292916</v>
      </c>
      <c r="I214" s="16">
        <f t="shared" ref="I214:I266" si="7">G214^2</f>
        <v>0.28158985392293762</v>
      </c>
      <c r="J214" s="20">
        <f>F214*G214</f>
        <v>333.90691478287437</v>
      </c>
    </row>
    <row r="215" spans="3:10" ht="15.9">
      <c r="C215" s="13">
        <v>44007</v>
      </c>
      <c r="D215" s="14">
        <v>10288.9</v>
      </c>
      <c r="E215" s="17">
        <v>27.08</v>
      </c>
      <c r="F215" s="16">
        <f>D215-$D$268</f>
        <v>-645.64085365854044</v>
      </c>
      <c r="G215" s="16">
        <f>E215-$E$268</f>
        <v>-0.48065040650407553</v>
      </c>
      <c r="H215" s="16">
        <f t="shared" si="6"/>
        <v>416852.11191292881</v>
      </c>
      <c r="I215" s="16">
        <f t="shared" si="7"/>
        <v>0.23102481327253305</v>
      </c>
      <c r="J215" s="20">
        <f>F215*G215</f>
        <v>310.32753876661582</v>
      </c>
    </row>
    <row r="216" spans="3:10" ht="15.9">
      <c r="C216" s="13">
        <v>44008</v>
      </c>
      <c r="D216" s="14">
        <v>10383</v>
      </c>
      <c r="E216" s="15">
        <v>27.23</v>
      </c>
      <c r="F216" s="16">
        <f>D216-$D$268</f>
        <v>-551.54085365854007</v>
      </c>
      <c r="G216" s="16">
        <f>E216-$E$268</f>
        <v>-0.3306504065040734</v>
      </c>
      <c r="H216" s="16">
        <f t="shared" si="6"/>
        <v>304197.31325439113</v>
      </c>
      <c r="I216" s="16">
        <f t="shared" si="7"/>
        <v>0.10932969132130899</v>
      </c>
      <c r="J216" s="20">
        <f>F216*G216</f>
        <v>182.36720746579994</v>
      </c>
    </row>
    <row r="217" spans="3:10" ht="15.9">
      <c r="C217" s="13">
        <v>44011</v>
      </c>
      <c r="D217" s="14">
        <v>10312.4</v>
      </c>
      <c r="E217" s="15">
        <v>27.09</v>
      </c>
      <c r="F217" s="16">
        <f>D217-$D$268</f>
        <v>-622.14085365854044</v>
      </c>
      <c r="G217" s="16">
        <f>E217-$E$268</f>
        <v>-0.47065040650407397</v>
      </c>
      <c r="H217" s="16">
        <f t="shared" si="6"/>
        <v>387059.24179097742</v>
      </c>
      <c r="I217" s="16">
        <f t="shared" si="7"/>
        <v>0.22151180514245009</v>
      </c>
      <c r="J217" s="20">
        <f>F217*G217</f>
        <v>292.81084567718364</v>
      </c>
    </row>
    <row r="218" spans="3:10" ht="15.9">
      <c r="C218" s="13">
        <v>44012</v>
      </c>
      <c r="D218" s="14">
        <v>10302.1</v>
      </c>
      <c r="E218" s="17">
        <v>27.15</v>
      </c>
      <c r="F218" s="16">
        <f>D218-$D$268</f>
        <v>-632.44085365853971</v>
      </c>
      <c r="G218" s="16">
        <f>E218-$E$268</f>
        <v>-0.41065040650407525</v>
      </c>
      <c r="H218" s="16">
        <f t="shared" si="6"/>
        <v>399981.43337634247</v>
      </c>
      <c r="I218" s="16">
        <f t="shared" si="7"/>
        <v>0.16863375636196226</v>
      </c>
      <c r="J218" s="20">
        <f>F218*G218</f>
        <v>259.7120936446637</v>
      </c>
    </row>
    <row r="219" spans="3:10" ht="15.9">
      <c r="C219" s="13">
        <v>44013</v>
      </c>
      <c r="D219" s="14">
        <v>10430.049999999999</v>
      </c>
      <c r="E219" s="15">
        <v>27.33</v>
      </c>
      <c r="F219" s="16">
        <f>D219-$D$268</f>
        <v>-504.4908536585408</v>
      </c>
      <c r="G219" s="16">
        <f>E219-$E$268</f>
        <v>-0.23065040650407553</v>
      </c>
      <c r="H219" s="16">
        <f t="shared" si="6"/>
        <v>254511.02142512324</v>
      </c>
      <c r="I219" s="16">
        <f t="shared" si="7"/>
        <v>5.3199610020495287E-2</v>
      </c>
      <c r="J219" s="20">
        <f>F219*G219</f>
        <v>116.36102047393052</v>
      </c>
    </row>
    <row r="220" spans="3:10" ht="15.9">
      <c r="C220" s="13">
        <v>44014</v>
      </c>
      <c r="D220" s="14">
        <v>10551.7</v>
      </c>
      <c r="E220" s="17">
        <v>27.59</v>
      </c>
      <c r="F220" s="16">
        <f>D220-$D$268</f>
        <v>-382.84085365853934</v>
      </c>
      <c r="G220" s="16">
        <f>E220-$E$268</f>
        <v>2.934959349592603E-2</v>
      </c>
      <c r="H220" s="16">
        <f t="shared" si="6"/>
        <v>146567.11922999914</v>
      </c>
      <c r="I220" s="16">
        <f t="shared" si="7"/>
        <v>8.6139863837610348E-4</v>
      </c>
      <c r="J220" s="20">
        <f>F220*G220</f>
        <v>-11.236223428511435</v>
      </c>
    </row>
    <row r="221" spans="3:10" ht="15.9">
      <c r="C221" s="13">
        <v>44015</v>
      </c>
      <c r="D221" s="14">
        <v>10607.35</v>
      </c>
      <c r="E221" s="15">
        <v>27.73</v>
      </c>
      <c r="F221" s="16">
        <f>D221-$D$268</f>
        <v>-327.19085365853971</v>
      </c>
      <c r="G221" s="16">
        <f>E221-$E$268</f>
        <v>0.1693495934959266</v>
      </c>
      <c r="H221" s="16">
        <f t="shared" si="6"/>
        <v>107053.85471780394</v>
      </c>
      <c r="I221" s="16">
        <f t="shared" si="7"/>
        <v>2.8679284817235584E-2</v>
      </c>
      <c r="J221" s="20">
        <f>F221*G221</f>
        <v>-55.409638062658907</v>
      </c>
    </row>
    <row r="222" spans="3:10" ht="15.9">
      <c r="C222" s="13">
        <v>44018</v>
      </c>
      <c r="D222" s="14">
        <v>10763.65</v>
      </c>
      <c r="E222" s="17">
        <v>28.07</v>
      </c>
      <c r="F222" s="16">
        <f>D222-$D$268</f>
        <v>-170.89085365854044</v>
      </c>
      <c r="G222" s="16">
        <f>E222-$E$268</f>
        <v>0.50934959349592646</v>
      </c>
      <c r="H222" s="16">
        <f t="shared" si="6"/>
        <v>29203.683864144685</v>
      </c>
      <c r="I222" s="16">
        <f t="shared" si="7"/>
        <v>0.25943700839446554</v>
      </c>
      <c r="J222" s="20">
        <f>F222*G222</f>
        <v>-87.043186843149428</v>
      </c>
    </row>
    <row r="223" spans="3:10" ht="15.9">
      <c r="C223" s="13">
        <v>44019</v>
      </c>
      <c r="D223" s="14">
        <v>10799.65</v>
      </c>
      <c r="E223" s="15">
        <v>28.19</v>
      </c>
      <c r="F223" s="16">
        <f>D223-$D$268</f>
        <v>-134.89085365854044</v>
      </c>
      <c r="G223" s="16">
        <f>E223-$E$268</f>
        <v>0.62934959349592745</v>
      </c>
      <c r="H223" s="16">
        <f t="shared" si="6"/>
        <v>18195.542400729773</v>
      </c>
      <c r="I223" s="16">
        <f t="shared" si="7"/>
        <v>0.39608091083348912</v>
      </c>
      <c r="J223" s="20">
        <f>F223*G223</f>
        <v>-84.893503916321066</v>
      </c>
    </row>
    <row r="224" spans="3:10" ht="15.9">
      <c r="C224" s="13">
        <v>44020</v>
      </c>
      <c r="D224" s="14">
        <v>10705.75</v>
      </c>
      <c r="E224" s="17">
        <v>27.93</v>
      </c>
      <c r="F224" s="16">
        <f>D224-$D$268</f>
        <v>-228.79085365854007</v>
      </c>
      <c r="G224" s="16">
        <f>E224-$E$268</f>
        <v>0.36934959349592589</v>
      </c>
      <c r="H224" s="16">
        <f t="shared" si="6"/>
        <v>52345.254717803502</v>
      </c>
      <c r="I224" s="16">
        <f t="shared" si="7"/>
        <v>0.1364191222156057</v>
      </c>
      <c r="J224" s="20">
        <f>F224*G224</f>
        <v>-84.503808794367643</v>
      </c>
    </row>
    <row r="225" spans="3:10" ht="15.9">
      <c r="C225" s="13">
        <v>44021</v>
      </c>
      <c r="D225" s="14">
        <v>10813.45</v>
      </c>
      <c r="E225" s="15">
        <v>28.13</v>
      </c>
      <c r="F225" s="16">
        <f>D225-$D$268</f>
        <v>-121.09085365853934</v>
      </c>
      <c r="G225" s="16">
        <f>E225-$E$268</f>
        <v>0.56934959349592518</v>
      </c>
      <c r="H225" s="16">
        <f t="shared" si="6"/>
        <v>14662.994839753792</v>
      </c>
      <c r="I225" s="16">
        <f t="shared" si="7"/>
        <v>0.32415895961397523</v>
      </c>
      <c r="J225" s="20">
        <f>F225*G225</f>
        <v>-68.943028306563946</v>
      </c>
    </row>
    <row r="226" spans="3:10" ht="15.9">
      <c r="C226" s="13">
        <v>44022</v>
      </c>
      <c r="D226" s="14">
        <v>10768.05</v>
      </c>
      <c r="E226" s="17">
        <v>28.05</v>
      </c>
      <c r="F226" s="16">
        <f>D226-$D$268</f>
        <v>-166.4908536585408</v>
      </c>
      <c r="G226" s="16">
        <f>E226-$E$268</f>
        <v>0.48934959349592688</v>
      </c>
      <c r="H226" s="16">
        <f t="shared" si="6"/>
        <v>27719.204351949647</v>
      </c>
      <c r="I226" s="16">
        <f t="shared" si="7"/>
        <v>0.23946302465462888</v>
      </c>
      <c r="J226" s="20">
        <f>F226*G226</f>
        <v>-81.472231558596789</v>
      </c>
    </row>
    <row r="227" spans="3:10" ht="15.9">
      <c r="C227" s="13">
        <v>44025</v>
      </c>
      <c r="D227" s="14">
        <v>10802.7</v>
      </c>
      <c r="E227" s="15">
        <v>28.12</v>
      </c>
      <c r="F227" s="16">
        <f>D227-$D$268</f>
        <v>-131.84085365853934</v>
      </c>
      <c r="G227" s="16">
        <f>E227-$E$268</f>
        <v>0.55934959349592717</v>
      </c>
      <c r="H227" s="16">
        <f t="shared" si="6"/>
        <v>17382.010693412387</v>
      </c>
      <c r="I227" s="16">
        <f t="shared" si="7"/>
        <v>0.31287196774405895</v>
      </c>
      <c r="J227" s="20">
        <f>F227*G227</f>
        <v>-73.745127900059998</v>
      </c>
    </row>
    <row r="228" spans="3:10" ht="15.9">
      <c r="C228" s="13">
        <v>44026</v>
      </c>
      <c r="D228" s="14">
        <v>10607.35</v>
      </c>
      <c r="E228" s="17">
        <v>27.76</v>
      </c>
      <c r="F228" s="16">
        <f>D228-$D$268</f>
        <v>-327.19085365853971</v>
      </c>
      <c r="G228" s="16">
        <f>E228-$E$268</f>
        <v>0.19934959349592773</v>
      </c>
      <c r="H228" s="16">
        <f t="shared" si="6"/>
        <v>107053.85471780394</v>
      </c>
      <c r="I228" s="16">
        <f t="shared" si="7"/>
        <v>3.9740260426991636E-2</v>
      </c>
      <c r="J228" s="20">
        <f>F228*G228</f>
        <v>-65.225363672415469</v>
      </c>
    </row>
    <row r="229" spans="3:10" ht="15.9">
      <c r="C229" s="13">
        <v>44027</v>
      </c>
      <c r="D229" s="14">
        <v>10618.2</v>
      </c>
      <c r="E229" s="15">
        <v>27.76</v>
      </c>
      <c r="F229" s="16">
        <f>D229-$D$268</f>
        <v>-316.34085365853934</v>
      </c>
      <c r="G229" s="16">
        <f>E229-$E$268</f>
        <v>0.19934959349592773</v>
      </c>
      <c r="H229" s="16">
        <f t="shared" si="6"/>
        <v>100071.5356934134</v>
      </c>
      <c r="I229" s="16">
        <f t="shared" si="7"/>
        <v>3.9740260426991636E-2</v>
      </c>
      <c r="J229" s="20">
        <f>F229*G229</f>
        <v>-63.062420582984579</v>
      </c>
    </row>
    <row r="230" spans="3:10" ht="15.9">
      <c r="C230" s="13">
        <v>44028</v>
      </c>
      <c r="D230" s="14">
        <v>10739.95</v>
      </c>
      <c r="E230" s="17">
        <v>28.11</v>
      </c>
      <c r="F230" s="16">
        <f>D230-$D$268</f>
        <v>-194.59085365853934</v>
      </c>
      <c r="G230" s="16">
        <f>E230-$E$268</f>
        <v>0.5493495934959256</v>
      </c>
      <c r="H230" s="16">
        <f t="shared" si="6"/>
        <v>37865.600327559077</v>
      </c>
      <c r="I230" s="16">
        <f t="shared" si="7"/>
        <v>0.30178497587413872</v>
      </c>
      <c r="J230" s="20">
        <f>F230*G230</f>
        <v>-106.89840635534374</v>
      </c>
    </row>
    <row r="231" spans="3:10" ht="15.9">
      <c r="C231" s="13">
        <v>44029</v>
      </c>
      <c r="D231" s="14">
        <v>10901.7</v>
      </c>
      <c r="E231" s="15">
        <v>28.46</v>
      </c>
      <c r="F231" s="16">
        <f>D231-$D$268</f>
        <v>-32.840853658539345</v>
      </c>
      <c r="G231" s="16">
        <f>E231-$E$268</f>
        <v>0.89934959349592702</v>
      </c>
      <c r="H231" s="16">
        <f t="shared" si="6"/>
        <v>1078.5216690215971</v>
      </c>
      <c r="I231" s="16">
        <f t="shared" si="7"/>
        <v>0.80882969132128923</v>
      </c>
      <c r="J231" s="20">
        <f>F231*G231</f>
        <v>-29.535408387866589</v>
      </c>
    </row>
    <row r="232" spans="3:10" ht="15.9">
      <c r="C232" s="13">
        <v>44032</v>
      </c>
      <c r="D232" s="14">
        <v>11022.2</v>
      </c>
      <c r="E232" s="17">
        <v>28.79</v>
      </c>
      <c r="F232" s="16">
        <f>D232-$D$268</f>
        <v>87.659146341460655</v>
      </c>
      <c r="G232" s="16">
        <f>E232-$E$268</f>
        <v>1.2293495934959253</v>
      </c>
      <c r="H232" s="16">
        <f t="shared" si="6"/>
        <v>7684.1259373136154</v>
      </c>
      <c r="I232" s="16">
        <f t="shared" si="7"/>
        <v>1.5113004230285969</v>
      </c>
      <c r="J232" s="20">
        <f>F232*G232</f>
        <v>107.76373592107448</v>
      </c>
    </row>
    <row r="233" spans="3:10" ht="15.9">
      <c r="C233" s="13">
        <v>44033</v>
      </c>
      <c r="D233" s="14">
        <v>11162.25</v>
      </c>
      <c r="E233" s="15">
        <v>28.97</v>
      </c>
      <c r="F233" s="16">
        <f>D233-$D$268</f>
        <v>227.70914634145993</v>
      </c>
      <c r="G233" s="16">
        <f>E233-$E$268</f>
        <v>1.409349593495925</v>
      </c>
      <c r="H233" s="16">
        <f t="shared" si="6"/>
        <v>51851.45532755641</v>
      </c>
      <c r="I233" s="16">
        <f t="shared" si="7"/>
        <v>1.9862662766871291</v>
      </c>
      <c r="J233" s="20">
        <f>F233*G233</f>
        <v>320.92179283164063</v>
      </c>
    </row>
    <row r="234" spans="3:10" ht="15.9">
      <c r="C234" s="13">
        <v>44034</v>
      </c>
      <c r="D234" s="14">
        <v>11132.6</v>
      </c>
      <c r="E234" s="17">
        <v>28.85</v>
      </c>
      <c r="F234" s="16">
        <f>D234-$D$268</f>
        <v>198.05914634146029</v>
      </c>
      <c r="G234" s="16">
        <f>E234-$E$268</f>
        <v>1.2893495934959276</v>
      </c>
      <c r="H234" s="16">
        <f t="shared" si="6"/>
        <v>39227.42544950798</v>
      </c>
      <c r="I234" s="16">
        <f t="shared" si="7"/>
        <v>1.6624223742481137</v>
      </c>
      <c r="J234" s="20">
        <f>F234*G234</f>
        <v>255.36747982351227</v>
      </c>
    </row>
    <row r="235" spans="3:10" ht="15.9">
      <c r="C235" s="13">
        <v>44035</v>
      </c>
      <c r="D235" s="14">
        <v>11215.45</v>
      </c>
      <c r="E235" s="15">
        <v>29.02</v>
      </c>
      <c r="F235" s="16">
        <f>D235-$D$268</f>
        <v>280.90914634146066</v>
      </c>
      <c r="G235" s="16">
        <f>E235-$E$268</f>
        <v>1.4593495934959257</v>
      </c>
      <c r="H235" s="16">
        <f t="shared" si="6"/>
        <v>78909.948498288155</v>
      </c>
      <c r="I235" s="16">
        <f t="shared" si="7"/>
        <v>2.1297012360367238</v>
      </c>
      <c r="J235" s="20">
        <f>F235*G235</f>
        <v>409.94464852269812</v>
      </c>
    </row>
    <row r="236" spans="3:10" ht="15.9">
      <c r="C236" s="13">
        <v>44036</v>
      </c>
      <c r="D236" s="14">
        <v>11194.15</v>
      </c>
      <c r="E236" s="17">
        <v>28.88</v>
      </c>
      <c r="F236" s="16">
        <f>D236-$D$268</f>
        <v>259.60914634145956</v>
      </c>
      <c r="G236" s="16">
        <f>E236-$E$268</f>
        <v>1.3193495934959252</v>
      </c>
      <c r="H236" s="16">
        <f t="shared" si="6"/>
        <v>67396.908864141369</v>
      </c>
      <c r="I236" s="16">
        <f t="shared" si="7"/>
        <v>1.7406833498578631</v>
      </c>
      <c r="J236" s="20">
        <f>F236*G236</f>
        <v>342.51522169342883</v>
      </c>
    </row>
    <row r="237" spans="3:10" ht="15.9">
      <c r="C237" s="13">
        <v>44039</v>
      </c>
      <c r="D237" s="14">
        <v>11131.8</v>
      </c>
      <c r="E237" s="15">
        <v>28.71</v>
      </c>
      <c r="F237" s="16">
        <f>D237-$D$268</f>
        <v>197.2591463414592</v>
      </c>
      <c r="G237" s="16">
        <f>E237-$E$268</f>
        <v>1.149349593495927</v>
      </c>
      <c r="H237" s="16">
        <f t="shared" si="6"/>
        <v>38911.17081536122</v>
      </c>
      <c r="I237" s="16">
        <f t="shared" si="7"/>
        <v>1.3210044880692526</v>
      </c>
      <c r="J237" s="20">
        <f>F237*G237</f>
        <v>226.7197196609097</v>
      </c>
    </row>
    <row r="238" spans="3:10" ht="15.9">
      <c r="C238" s="13">
        <v>44040</v>
      </c>
      <c r="D238" s="14">
        <v>11300.55</v>
      </c>
      <c r="E238" s="17">
        <v>29.04</v>
      </c>
      <c r="F238" s="16">
        <f>D238-$D$268</f>
        <v>366.0091463414592</v>
      </c>
      <c r="G238" s="16">
        <f>E238-$E$268</f>
        <v>1.4793495934959253</v>
      </c>
      <c r="H238" s="16">
        <f t="shared" si="6"/>
        <v>133962.6952056037</v>
      </c>
      <c r="I238" s="16">
        <f t="shared" si="7"/>
        <v>2.1884752197765596</v>
      </c>
      <c r="J238" s="20">
        <f>F238*G238</f>
        <v>541.45548185602831</v>
      </c>
    </row>
    <row r="239" spans="3:10" ht="15.9">
      <c r="C239" s="13">
        <v>44041</v>
      </c>
      <c r="D239" s="14">
        <v>11202.85</v>
      </c>
      <c r="E239" s="15">
        <v>28.9</v>
      </c>
      <c r="F239" s="16">
        <f>D239-$D$268</f>
        <v>268.30914634146029</v>
      </c>
      <c r="G239" s="16">
        <f>E239-$E$268</f>
        <v>1.3393495934959248</v>
      </c>
      <c r="H239" s="16">
        <f t="shared" si="6"/>
        <v>71989.798010483151</v>
      </c>
      <c r="I239" s="16">
        <f t="shared" si="7"/>
        <v>1.7938573335976988</v>
      </c>
      <c r="J239" s="20">
        <f>F239*G239</f>
        <v>359.35974608367343</v>
      </c>
    </row>
    <row r="240" spans="3:10" ht="15.9">
      <c r="C240" s="13">
        <v>44042</v>
      </c>
      <c r="D240" s="14">
        <v>11102.15</v>
      </c>
      <c r="E240" s="17">
        <v>28.81</v>
      </c>
      <c r="F240" s="16">
        <f>D240-$D$268</f>
        <v>167.60914634145956</v>
      </c>
      <c r="G240" s="16">
        <f>E240-$E$268</f>
        <v>1.2493495934959249</v>
      </c>
      <c r="H240" s="16">
        <f t="shared" si="6"/>
        <v>28092.825937312809</v>
      </c>
      <c r="I240" s="16">
        <f t="shared" si="7"/>
        <v>1.5608744067684328</v>
      </c>
      <c r="J240" s="20">
        <f>F240*G240</f>
        <v>209.40241884790149</v>
      </c>
    </row>
    <row r="241" spans="3:10" ht="15.9">
      <c r="C241" s="13">
        <v>44043</v>
      </c>
      <c r="D241" s="14">
        <v>11073.45</v>
      </c>
      <c r="E241" s="15">
        <v>28.83</v>
      </c>
      <c r="F241" s="16">
        <f>D241-$D$268</f>
        <v>138.90914634146066</v>
      </c>
      <c r="G241" s="16">
        <f>E241-$E$268</f>
        <v>1.2693495934959245</v>
      </c>
      <c r="H241" s="16">
        <f t="shared" si="6"/>
        <v>19295.750937313333</v>
      </c>
      <c r="I241" s="16">
        <f t="shared" si="7"/>
        <v>1.6112483905082686</v>
      </c>
      <c r="J241" s="20">
        <f>F241*G241</f>
        <v>176.32426844139897</v>
      </c>
    </row>
    <row r="242" spans="3:10" ht="15.9">
      <c r="C242" s="13">
        <v>44046</v>
      </c>
      <c r="D242" s="14">
        <v>10891.6</v>
      </c>
      <c r="E242" s="15">
        <v>28.54</v>
      </c>
      <c r="F242" s="16">
        <f>D242-$D$268</f>
        <v>-42.940853658539709</v>
      </c>
      <c r="G242" s="16">
        <f>E242-$E$268</f>
        <v>0.97934959349592532</v>
      </c>
      <c r="H242" s="16">
        <f t="shared" si="6"/>
        <v>1843.9169129241232</v>
      </c>
      <c r="I242" s="16">
        <f t="shared" si="7"/>
        <v>0.95912562628063414</v>
      </c>
      <c r="J242" s="20">
        <f>F242*G242</f>
        <v>-42.054107574858882</v>
      </c>
    </row>
    <row r="243" spans="3:10" ht="15.9">
      <c r="C243" s="13">
        <v>44047</v>
      </c>
      <c r="D243" s="14">
        <v>11095.25</v>
      </c>
      <c r="E243" s="17">
        <v>29.01</v>
      </c>
      <c r="F243" s="16">
        <f>D243-$D$268</f>
        <v>160.70914634145993</v>
      </c>
      <c r="G243" s="16">
        <f>E243-$E$268</f>
        <v>1.4493495934959277</v>
      </c>
      <c r="H243" s="16">
        <f t="shared" si="6"/>
        <v>25827.429717800784</v>
      </c>
      <c r="I243" s="16">
        <f t="shared" si="7"/>
        <v>2.100614244166811</v>
      </c>
      <c r="J243" s="20">
        <f>F243*G243</f>
        <v>232.92373592107251</v>
      </c>
    </row>
    <row r="244" spans="3:10" ht="15.9">
      <c r="C244" s="13">
        <v>44048</v>
      </c>
      <c r="D244" s="14">
        <v>11101.65</v>
      </c>
      <c r="E244" s="15">
        <v>29.02</v>
      </c>
      <c r="F244" s="16">
        <f>D244-$D$268</f>
        <v>167.10914634145956</v>
      </c>
      <c r="G244" s="16">
        <f>E244-$E$268</f>
        <v>1.4593495934959257</v>
      </c>
      <c r="H244" s="16">
        <f t="shared" si="6"/>
        <v>27925.46679097135</v>
      </c>
      <c r="I244" s="16">
        <f t="shared" si="7"/>
        <v>2.1297012360367238</v>
      </c>
      <c r="J244" s="20">
        <f>F244*G244</f>
        <v>243.87066478286019</v>
      </c>
    </row>
    <row r="245" spans="3:10" ht="15.9">
      <c r="C245" s="13">
        <v>44049</v>
      </c>
      <c r="D245" s="14">
        <v>11200.15</v>
      </c>
      <c r="E245" s="17">
        <v>29.28</v>
      </c>
      <c r="F245" s="16">
        <f>D245-$D$268</f>
        <v>265.60914634145956</v>
      </c>
      <c r="G245" s="16">
        <f>E245-$E$268</f>
        <v>1.7193495934959273</v>
      </c>
      <c r="H245" s="16">
        <f t="shared" si="6"/>
        <v>70548.218620238884</v>
      </c>
      <c r="I245" s="16">
        <f t="shared" si="7"/>
        <v>2.9561630246546104</v>
      </c>
      <c r="J245" s="20">
        <f>F245*G245</f>
        <v>456.67497779098875</v>
      </c>
    </row>
    <row r="246" spans="3:10" ht="15.9">
      <c r="C246" s="13">
        <v>44050</v>
      </c>
      <c r="D246" s="14">
        <v>11214.05</v>
      </c>
      <c r="E246" s="15">
        <v>29.35</v>
      </c>
      <c r="F246" s="16">
        <f>D246-$D$268</f>
        <v>279.5091463414592</v>
      </c>
      <c r="G246" s="16">
        <f>E246-$E$268</f>
        <v>1.7893495934959276</v>
      </c>
      <c r="H246" s="16">
        <f t="shared" si="6"/>
        <v>78125.36288853125</v>
      </c>
      <c r="I246" s="16">
        <f t="shared" si="7"/>
        <v>3.2017719677440413</v>
      </c>
      <c r="J246" s="20">
        <f>F246*G246</f>
        <v>500.13957738448374</v>
      </c>
    </row>
    <row r="247" spans="3:10" ht="15.9">
      <c r="C247" s="13">
        <v>44053</v>
      </c>
      <c r="D247" s="14">
        <v>11270.15</v>
      </c>
      <c r="E247" s="17">
        <v>29.56</v>
      </c>
      <c r="F247" s="16">
        <f>D247-$D$268</f>
        <v>335.60914634145956</v>
      </c>
      <c r="G247" s="16">
        <f>E247-$E$268</f>
        <v>1.9993495934959249</v>
      </c>
      <c r="H247" s="16">
        <f t="shared" si="6"/>
        <v>112633.49910804322</v>
      </c>
      <c r="I247" s="16">
        <f t="shared" si="7"/>
        <v>3.9973987970123201</v>
      </c>
      <c r="J247" s="20">
        <f>F247*G247</f>
        <v>671.0000103113116</v>
      </c>
    </row>
    <row r="248" spans="3:10" ht="15.9">
      <c r="C248" s="13">
        <v>44054</v>
      </c>
      <c r="D248" s="14">
        <v>11322.5</v>
      </c>
      <c r="E248" s="15">
        <v>29.59</v>
      </c>
      <c r="F248" s="16">
        <f>D248-$D$268</f>
        <v>387.95914634145993</v>
      </c>
      <c r="G248" s="16">
        <f>E248-$E$268</f>
        <v>2.029349593495926</v>
      </c>
      <c r="H248" s="16">
        <f t="shared" si="6"/>
        <v>150512.29922999433</v>
      </c>
      <c r="I248" s="16">
        <f t="shared" si="7"/>
        <v>4.1182597726220802</v>
      </c>
      <c r="J248" s="20">
        <f>F248*G248</f>
        <v>787.30473592106819</v>
      </c>
    </row>
    <row r="249" spans="3:10" ht="15.9">
      <c r="C249" s="13">
        <v>44055</v>
      </c>
      <c r="D249" s="14">
        <v>11308.4</v>
      </c>
      <c r="E249" s="17">
        <v>29.56</v>
      </c>
      <c r="F249" s="16">
        <f>D249-$D$268</f>
        <v>373.85914634145956</v>
      </c>
      <c r="G249" s="16">
        <f>E249-$E$268</f>
        <v>1.9993495934959249</v>
      </c>
      <c r="H249" s="16">
        <f t="shared" si="6"/>
        <v>139770.66130316487</v>
      </c>
      <c r="I249" s="16">
        <f t="shared" si="7"/>
        <v>3.9973987970123201</v>
      </c>
      <c r="J249" s="20">
        <f>F249*G249</f>
        <v>747.47513226253068</v>
      </c>
    </row>
    <row r="250" spans="3:10" ht="15.9">
      <c r="C250" s="13">
        <v>44056</v>
      </c>
      <c r="D250" s="14">
        <v>11300.45</v>
      </c>
      <c r="E250" s="15">
        <v>29.62</v>
      </c>
      <c r="F250" s="16">
        <f>D250-$D$268</f>
        <v>365.90914634146066</v>
      </c>
      <c r="G250" s="16">
        <f>E250-$E$268</f>
        <v>2.0593495934959272</v>
      </c>
      <c r="H250" s="16">
        <f t="shared" si="6"/>
        <v>133889.50337633648</v>
      </c>
      <c r="I250" s="16">
        <f t="shared" si="7"/>
        <v>4.2409207482318401</v>
      </c>
      <c r="J250" s="20">
        <f>F250*G250</f>
        <v>753.53485177472874</v>
      </c>
    </row>
    <row r="251" spans="3:10" ht="15.9">
      <c r="C251" s="13">
        <v>44057</v>
      </c>
      <c r="D251" s="14">
        <v>11178.4</v>
      </c>
      <c r="E251" s="17">
        <v>29.32</v>
      </c>
      <c r="F251" s="16">
        <f>D251-$D$268</f>
        <v>243.85914634145956</v>
      </c>
      <c r="G251" s="16">
        <f>E251-$E$268</f>
        <v>1.7593495934959265</v>
      </c>
      <c r="H251" s="16">
        <f t="shared" si="6"/>
        <v>59467.283254385395</v>
      </c>
      <c r="I251" s="16">
        <f t="shared" si="7"/>
        <v>3.0953109921342818</v>
      </c>
      <c r="J251" s="20">
        <f>F251*G251</f>
        <v>429.03348998611051</v>
      </c>
    </row>
    <row r="252" spans="3:10" ht="15.9">
      <c r="C252" s="13">
        <v>44060</v>
      </c>
      <c r="D252" s="14">
        <v>11247.1</v>
      </c>
      <c r="E252" s="15">
        <v>29.45</v>
      </c>
      <c r="F252" s="16">
        <f>D252-$D$268</f>
        <v>312.55914634146029</v>
      </c>
      <c r="G252" s="16">
        <f>E252-$E$268</f>
        <v>1.8893495934959255</v>
      </c>
      <c r="H252" s="16">
        <f t="shared" si="6"/>
        <v>97693.219961702387</v>
      </c>
      <c r="I252" s="16">
        <f t="shared" si="7"/>
        <v>3.5696418864432187</v>
      </c>
      <c r="J252" s="20">
        <f>F252*G252</f>
        <v>590.53349608367148</v>
      </c>
    </row>
    <row r="253" spans="3:10" ht="15.9">
      <c r="C253" s="13">
        <v>44061</v>
      </c>
      <c r="D253" s="14">
        <v>11385.35</v>
      </c>
      <c r="E253" s="17">
        <v>29.81</v>
      </c>
      <c r="F253" s="16">
        <f>D253-$D$268</f>
        <v>450.80914634146029</v>
      </c>
      <c r="G253" s="16">
        <f>E253-$E$268</f>
        <v>2.2493495934959249</v>
      </c>
      <c r="H253" s="16">
        <f t="shared" si="6"/>
        <v>203228.88642511616</v>
      </c>
      <c r="I253" s="16">
        <f t="shared" si="7"/>
        <v>5.0595735937602822</v>
      </c>
      <c r="J253" s="20">
        <f>F253*G253</f>
        <v>1014.0273700674086</v>
      </c>
    </row>
    <row r="254" spans="3:10" ht="15.9">
      <c r="C254" s="13">
        <v>44062</v>
      </c>
      <c r="D254" s="14">
        <v>11408.4</v>
      </c>
      <c r="E254" s="15">
        <v>29.85</v>
      </c>
      <c r="F254" s="16">
        <f>D254-$D$268</f>
        <v>473.85914634145956</v>
      </c>
      <c r="G254" s="16">
        <f>E254-$E$268</f>
        <v>2.2893495934959276</v>
      </c>
      <c r="H254" s="16">
        <f t="shared" si="6"/>
        <v>224542.49057145679</v>
      </c>
      <c r="I254" s="16">
        <f t="shared" si="7"/>
        <v>5.2411215612399689</v>
      </c>
      <c r="J254" s="20">
        <f>F254*G254</f>
        <v>1084.8292440511477</v>
      </c>
    </row>
    <row r="255" spans="3:10" ht="15.9">
      <c r="C255" s="13">
        <v>44063</v>
      </c>
      <c r="D255" s="14">
        <v>11312.2</v>
      </c>
      <c r="E255" s="17">
        <v>29.67</v>
      </c>
      <c r="F255" s="16">
        <f>D255-$D$268</f>
        <v>377.65914634146066</v>
      </c>
      <c r="G255" s="16">
        <f>E255-$E$268</f>
        <v>2.1093495934959279</v>
      </c>
      <c r="H255" s="16">
        <f t="shared" si="6"/>
        <v>142626.4308153608</v>
      </c>
      <c r="I255" s="16">
        <f t="shared" si="7"/>
        <v>4.4493557075814358</v>
      </c>
      <c r="J255" s="20">
        <f>F255*G255</f>
        <v>796.61516681537921</v>
      </c>
    </row>
    <row r="256" spans="3:10" ht="15.9">
      <c r="C256" s="13">
        <v>44064</v>
      </c>
      <c r="D256" s="14">
        <v>11371.6</v>
      </c>
      <c r="E256" s="15">
        <v>29.8</v>
      </c>
      <c r="F256" s="16">
        <f>D256-$D$268</f>
        <v>437.05914634146029</v>
      </c>
      <c r="G256" s="16">
        <f>E256-$E$268</f>
        <v>2.2393495934959269</v>
      </c>
      <c r="H256" s="16">
        <f t="shared" si="6"/>
        <v>191020.697400726</v>
      </c>
      <c r="I256" s="16">
        <f t="shared" si="7"/>
        <v>5.0146866018903733</v>
      </c>
      <c r="J256" s="20">
        <f>F256*G256</f>
        <v>978.72822169342589</v>
      </c>
    </row>
    <row r="257" spans="1:10" ht="15.9">
      <c r="C257" s="13">
        <v>44067</v>
      </c>
      <c r="D257" s="14">
        <v>11466.45</v>
      </c>
      <c r="E257" s="17">
        <v>30.03</v>
      </c>
      <c r="F257" s="16">
        <f>D257-$D$268</f>
        <v>531.90914634146066</v>
      </c>
      <c r="G257" s="16">
        <f>E257-$E$268</f>
        <v>2.4693495934959273</v>
      </c>
      <c r="H257" s="16">
        <f t="shared" si="6"/>
        <v>282927.33996170142</v>
      </c>
      <c r="I257" s="16">
        <f t="shared" si="7"/>
        <v>6.0976874148985019</v>
      </c>
      <c r="J257" s="20">
        <f>F257*G257</f>
        <v>1313.4696342950515</v>
      </c>
    </row>
    <row r="258" spans="1:10" ht="15.9">
      <c r="C258" s="13">
        <v>44068</v>
      </c>
      <c r="D258" s="14">
        <v>11472.25</v>
      </c>
      <c r="E258" s="15">
        <v>30.06</v>
      </c>
      <c r="F258" s="16">
        <f>D258-$D$268</f>
        <v>537.70914634145993</v>
      </c>
      <c r="G258" s="16">
        <f>E258-$E$268</f>
        <v>2.4993495934959249</v>
      </c>
      <c r="H258" s="16">
        <f t="shared" si="6"/>
        <v>289131.12605926156</v>
      </c>
      <c r="I258" s="16">
        <f t="shared" si="7"/>
        <v>6.2467483905082446</v>
      </c>
      <c r="J258" s="20">
        <f>F258*G258</f>
        <v>1343.9231363275687</v>
      </c>
    </row>
    <row r="259" spans="1:10" ht="15.9">
      <c r="C259" s="13">
        <v>44069</v>
      </c>
      <c r="D259" s="14">
        <v>11549.6</v>
      </c>
      <c r="E259" s="17">
        <v>30.18</v>
      </c>
      <c r="F259" s="16">
        <f>D259-$D$268</f>
        <v>615.05914634146029</v>
      </c>
      <c r="G259" s="16">
        <f>E259-$E$268</f>
        <v>2.6193495934959259</v>
      </c>
      <c r="H259" s="16">
        <f t="shared" si="6"/>
        <v>378297.75349828589</v>
      </c>
      <c r="I259" s="16">
        <f t="shared" si="7"/>
        <v>6.8609922929472722</v>
      </c>
      <c r="J259" s="20">
        <f>F259*G259</f>
        <v>1611.0549249454552</v>
      </c>
    </row>
    <row r="260" spans="1:10" ht="15.9">
      <c r="C260" s="13">
        <v>44070</v>
      </c>
      <c r="D260" s="14">
        <v>11559.25</v>
      </c>
      <c r="E260" s="15">
        <v>30.22</v>
      </c>
      <c r="F260" s="16">
        <f>D260-$D$268</f>
        <v>624.70914634145993</v>
      </c>
      <c r="G260" s="16">
        <f>E260-$E$268</f>
        <v>2.659349593495925</v>
      </c>
      <c r="H260" s="16">
        <f t="shared" si="6"/>
        <v>390261.51752267557</v>
      </c>
      <c r="I260" s="16">
        <f t="shared" si="7"/>
        <v>7.0721402604269414</v>
      </c>
      <c r="J260" s="20">
        <f>F260*G260</f>
        <v>1661.3200143763479</v>
      </c>
    </row>
    <row r="261" spans="1:10" ht="15.9">
      <c r="C261" s="13">
        <v>44071</v>
      </c>
      <c r="D261" s="14">
        <v>11647.6</v>
      </c>
      <c r="E261" s="17">
        <v>30.36</v>
      </c>
      <c r="F261" s="16">
        <f>D261-$D$268</f>
        <v>713.05914634146029</v>
      </c>
      <c r="G261" s="16">
        <f>E261-$E$268</f>
        <v>2.7993495934959256</v>
      </c>
      <c r="H261" s="16">
        <f t="shared" si="6"/>
        <v>508453.34618121211</v>
      </c>
      <c r="I261" s="16">
        <f t="shared" si="7"/>
        <v>7.8363581466058037</v>
      </c>
      <c r="J261" s="20">
        <f>F261*G261</f>
        <v>1996.1018314495186</v>
      </c>
    </row>
    <row r="262" spans="1:10" ht="15.9">
      <c r="C262" s="13">
        <v>44074</v>
      </c>
      <c r="D262" s="14">
        <v>11387.5</v>
      </c>
      <c r="E262" s="15">
        <v>29.65</v>
      </c>
      <c r="F262" s="16">
        <f>D262-$D$268</f>
        <v>452.95914634145993</v>
      </c>
      <c r="G262" s="16">
        <f>E262-$E$268</f>
        <v>2.0893495934959248</v>
      </c>
      <c r="H262" s="16">
        <f t="shared" si="6"/>
        <v>205171.98825438411</v>
      </c>
      <c r="I262" s="16">
        <f t="shared" si="7"/>
        <v>4.365381723841586</v>
      </c>
      <c r="J262" s="20">
        <f>F262*G262</f>
        <v>946.39000827879045</v>
      </c>
    </row>
    <row r="263" spans="1:10" ht="15.9">
      <c r="C263" s="13">
        <v>44075</v>
      </c>
      <c r="D263" s="14">
        <v>11470.25</v>
      </c>
      <c r="E263" s="17">
        <v>29.88</v>
      </c>
      <c r="F263" s="16">
        <f>D263-$D$268</f>
        <v>535.70914634145993</v>
      </c>
      <c r="G263" s="16">
        <f>E263-$E$268</f>
        <v>2.3193495934959252</v>
      </c>
      <c r="H263" s="16">
        <f t="shared" si="6"/>
        <v>286984.28947389574</v>
      </c>
      <c r="I263" s="16">
        <f t="shared" si="7"/>
        <v>5.3793825368497137</v>
      </c>
      <c r="J263" s="20">
        <f>F263*G263</f>
        <v>1242.4967907991143</v>
      </c>
    </row>
    <row r="264" spans="1:10" ht="15.9">
      <c r="C264" s="13">
        <v>44076</v>
      </c>
      <c r="D264" s="14">
        <v>11535</v>
      </c>
      <c r="E264" s="15">
        <v>30.06</v>
      </c>
      <c r="F264" s="16">
        <f>D264-$D$268</f>
        <v>600.45914634145993</v>
      </c>
      <c r="G264" s="16">
        <f>E264-$E$268</f>
        <v>2.4993495934959249</v>
      </c>
      <c r="H264" s="16">
        <f t="shared" si="6"/>
        <v>360551.18642511481</v>
      </c>
      <c r="I264" s="16">
        <f t="shared" si="7"/>
        <v>6.2467483905082446</v>
      </c>
      <c r="J264" s="20">
        <f>F264*G264</f>
        <v>1500.757323319438</v>
      </c>
    </row>
    <row r="265" spans="1:10" ht="15.9">
      <c r="C265" s="13">
        <v>44077</v>
      </c>
      <c r="D265" s="14">
        <v>11527.45</v>
      </c>
      <c r="E265" s="17">
        <v>30.07</v>
      </c>
      <c r="F265" s="16">
        <f>D265-$D$268</f>
        <v>592.90914634146066</v>
      </c>
      <c r="G265" s="16">
        <f>E265-$E$268</f>
        <v>2.5093495934959265</v>
      </c>
      <c r="H265" s="16">
        <f t="shared" si="6"/>
        <v>351541.25581535959</v>
      </c>
      <c r="I265" s="16">
        <f t="shared" si="7"/>
        <v>6.2968353823781715</v>
      </c>
      <c r="J265" s="20">
        <f>F265*G265</f>
        <v>1487.816325351961</v>
      </c>
    </row>
    <row r="266" spans="1:10" ht="16.3" thickBot="1">
      <c r="C266" s="21">
        <v>44078</v>
      </c>
      <c r="D266" s="22">
        <v>11333.85</v>
      </c>
      <c r="E266" s="23">
        <v>29.64</v>
      </c>
      <c r="F266" s="24">
        <f>D266-$D$268</f>
        <v>399.30914634146029</v>
      </c>
      <c r="G266" s="24">
        <f>E266-$E$268</f>
        <v>2.0793495934959267</v>
      </c>
      <c r="H266" s="24">
        <f t="shared" si="6"/>
        <v>159447.79435194575</v>
      </c>
      <c r="I266" s="24">
        <f t="shared" si="7"/>
        <v>4.3236947319716759</v>
      </c>
      <c r="J266" s="40">
        <f>F266*G266</f>
        <v>830.303311124321</v>
      </c>
    </row>
    <row r="267" spans="1:10">
      <c r="A267" t="s">
        <v>59</v>
      </c>
      <c r="B267">
        <v>246</v>
      </c>
      <c r="C267" s="25" t="s">
        <v>72</v>
      </c>
      <c r="D267" s="26">
        <f>SUM(D21:D266)</f>
        <v>2689897.0500000007</v>
      </c>
      <c r="E267" s="26">
        <f>SUM(E21:E266)</f>
        <v>6779.9200000000019</v>
      </c>
      <c r="F267" s="27">
        <f t="shared" ref="F267:J267" si="8">SUM(F21:F266)</f>
        <v>-8.8039087131619453E-10</v>
      </c>
      <c r="G267" s="27">
        <f t="shared" si="8"/>
        <v>-2.2346569039655151E-12</v>
      </c>
      <c r="H267" s="26">
        <f t="shared" si="8"/>
        <v>340898297.31692052</v>
      </c>
      <c r="I267" s="26">
        <f t="shared" si="8"/>
        <v>1130.5902959349589</v>
      </c>
      <c r="J267" s="41">
        <f t="shared" si="8"/>
        <v>568984.89396341448</v>
      </c>
    </row>
    <row r="268" spans="1:10" ht="15" thickBot="1">
      <c r="C268" s="28" t="s">
        <v>73</v>
      </c>
      <c r="D268" s="29">
        <f>D267/B267</f>
        <v>10934.54085365854</v>
      </c>
      <c r="E268" s="29">
        <f>E267/$B$267</f>
        <v>27.560650406504074</v>
      </c>
      <c r="F268" s="30"/>
      <c r="G268" s="30"/>
      <c r="H268" s="30">
        <f>H267/$B$267</f>
        <v>1385765.4362476445</v>
      </c>
      <c r="I268" s="30">
        <f>I267/$B$267</f>
        <v>4.5958955119307277</v>
      </c>
      <c r="J268" s="42">
        <f>J267/$B$267</f>
        <v>2312.9467234285144</v>
      </c>
    </row>
    <row r="269" spans="1:10">
      <c r="C269" s="31" t="s">
        <v>74</v>
      </c>
      <c r="D269" s="32">
        <f>H268</f>
        <v>1385765.4362476445</v>
      </c>
      <c r="E269" s="33">
        <f>I268</f>
        <v>4.5958955119307277</v>
      </c>
      <c r="F269" s="34"/>
      <c r="G269" s="34"/>
      <c r="H269" s="34"/>
      <c r="I269" s="34"/>
      <c r="J269" s="34"/>
    </row>
    <row r="270" spans="1:10">
      <c r="C270" s="35" t="s">
        <v>75</v>
      </c>
      <c r="D270" s="36">
        <f>SQRT(D269)</f>
        <v>1177.1853873743271</v>
      </c>
      <c r="E270" s="37">
        <f>SQRT(E269)</f>
        <v>2.143803981694858</v>
      </c>
      <c r="F270" s="34"/>
      <c r="G270" s="34"/>
      <c r="H270" s="34"/>
      <c r="I270" s="34"/>
      <c r="J270" s="34"/>
    </row>
    <row r="271" spans="1:10">
      <c r="C271" s="35" t="s">
        <v>112</v>
      </c>
      <c r="D271" s="165">
        <f>J268</f>
        <v>2312.9467234285144</v>
      </c>
      <c r="E271" s="166"/>
      <c r="F271" s="34"/>
      <c r="G271" s="34"/>
      <c r="H271" s="34"/>
      <c r="I271" s="34"/>
      <c r="J271" s="34"/>
    </row>
    <row r="272" spans="1:10">
      <c r="C272" s="35" t="s">
        <v>113</v>
      </c>
      <c r="D272" s="165">
        <f>D271/(D270*E270)</f>
        <v>0.91650680440007726</v>
      </c>
      <c r="E272" s="166"/>
      <c r="F272" s="34"/>
      <c r="G272" s="34"/>
      <c r="H272" s="34"/>
      <c r="I272" s="34"/>
      <c r="J272" s="34"/>
    </row>
    <row r="273" spans="3:12" ht="15" thickBot="1">
      <c r="C273" s="35" t="s">
        <v>79</v>
      </c>
      <c r="D273" s="165">
        <f>D272^2</f>
        <v>0.83998472251164147</v>
      </c>
      <c r="E273" s="166"/>
      <c r="F273" s="34"/>
      <c r="G273" s="34"/>
      <c r="H273" s="34"/>
      <c r="I273" s="34"/>
      <c r="J273" s="34"/>
    </row>
    <row r="274" spans="3:12" ht="31.5" customHeight="1" thickBot="1">
      <c r="C274" s="35" t="s">
        <v>114</v>
      </c>
      <c r="D274" s="165">
        <f>D271/D269</f>
        <v>1.6690752005559309E-3</v>
      </c>
      <c r="E274" s="166"/>
      <c r="F274" s="38" t="s">
        <v>115</v>
      </c>
      <c r="G274" s="34"/>
      <c r="H274" s="34"/>
      <c r="I274" s="34"/>
      <c r="J274" s="34"/>
    </row>
    <row r="275" spans="3:12" ht="15" thickBot="1">
      <c r="C275" s="39" t="s">
        <v>116</v>
      </c>
      <c r="D275" s="167">
        <f>E268-D268*D274</f>
        <v>9.3100794381969258</v>
      </c>
      <c r="E275" s="168"/>
      <c r="F275" s="34"/>
      <c r="G275" s="34"/>
      <c r="H275" s="34"/>
      <c r="I275" s="34"/>
      <c r="J275" s="34"/>
    </row>
    <row r="277" spans="3:12" ht="262.3">
      <c r="F277" s="4" t="s">
        <v>117</v>
      </c>
      <c r="G277">
        <f>D275</f>
        <v>9.3100794381969258</v>
      </c>
    </row>
    <row r="278" spans="3:12" ht="250.3">
      <c r="F278" s="4" t="s">
        <v>118</v>
      </c>
      <c r="G278" s="1">
        <f>D274</f>
        <v>1.6690752005559309E-3</v>
      </c>
    </row>
    <row r="279" spans="3:12" ht="15" thickBot="1">
      <c r="C279" s="1" t="s">
        <v>119</v>
      </c>
      <c r="D279" s="1">
        <f>D266*1.038</f>
        <v>11764.536300000002</v>
      </c>
      <c r="F279" t="s">
        <v>120</v>
      </c>
    </row>
    <row r="280" spans="3:12" ht="14.6" customHeight="1" thickBot="1">
      <c r="C280" s="1" t="s">
        <v>80</v>
      </c>
      <c r="D280" s="1">
        <f>D274</f>
        <v>1.6690752005559309E-3</v>
      </c>
      <c r="F280" s="169" t="s">
        <v>121</v>
      </c>
      <c r="G280" s="170"/>
      <c r="H280" s="170"/>
      <c r="I280" s="170"/>
      <c r="J280" s="170"/>
      <c r="K280" s="170"/>
      <c r="L280" s="171"/>
    </row>
    <row r="281" spans="3:12">
      <c r="C281" s="1" t="s">
        <v>84</v>
      </c>
      <c r="D281" s="1">
        <f>D275</f>
        <v>9.3100794381969258</v>
      </c>
    </row>
    <row r="283" spans="3:12">
      <c r="C283" s="172" t="s">
        <v>22</v>
      </c>
      <c r="D283" s="173" t="s">
        <v>122</v>
      </c>
    </row>
    <row r="284" spans="3:12" ht="15" thickBot="1">
      <c r="C284" s="174" t="s">
        <v>123</v>
      </c>
      <c r="D284" s="175">
        <f>D280*D279+D281</f>
        <v>28.945975222566958</v>
      </c>
    </row>
  </sheetData>
  <mergeCells count="6">
    <mergeCell ref="F280:L280"/>
    <mergeCell ref="D271:E271"/>
    <mergeCell ref="D272:E272"/>
    <mergeCell ref="D273:E273"/>
    <mergeCell ref="D274:E274"/>
    <mergeCell ref="D275:E27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Assignment 1</vt:lpstr>
      <vt:lpstr>Assignment 2</vt:lpstr>
      <vt:lpstr>Assignment 3</vt:lpstr>
      <vt:lpstr>Assignment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Biswas</dc:creator>
  <cp:lastModifiedBy>Asus</cp:lastModifiedBy>
  <dcterms:created xsi:type="dcterms:W3CDTF">2022-09-17T17:20:00Z</dcterms:created>
  <dcterms:modified xsi:type="dcterms:W3CDTF">2022-09-22T17:18:58Z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AC244D7854E34B3A9BA7B1699B84B522</vt:lpwstr>
  </property>
  <property fmtid="{D5CDD505-2E9C-101B-9397-08002B2CF9AE}" pid="3" name="KSOProductBuildVer">
    <vt:lpwstr>1033-11.2.0.11306</vt:lpwstr>
  </property>
</Properties>
</file>