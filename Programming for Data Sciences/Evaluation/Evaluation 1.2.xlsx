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kha\02 Study\Class\05 2022 - SIBM - Programming for Data Sciences Sem I\Evaluation\"/>
    </mc:Choice>
  </mc:AlternateContent>
  <xr:revisionPtr revIDLastSave="0" documentId="13_ncr:1_{16A02B55-1CE0-48D7-8F49-1B4F389E305F}" xr6:coauthVersionLast="47" xr6:coauthVersionMax="47" xr10:uidLastSave="{00000000-0000-0000-0000-000000000000}"/>
  <bookViews>
    <workbookView xWindow="-120" yWindow="-120" windowWidth="20730" windowHeight="11160" xr2:uid="{EC13E2B6-C807-48BC-8207-F9655A2749D6}"/>
  </bookViews>
  <sheets>
    <sheet name="PDS-Marks" sheetId="6" r:id="rId1"/>
    <sheet name="Quiz Marks" sheetId="9" r:id="rId2"/>
    <sheet name="PDS-Marks with comments" sheetId="5" r:id="rId3"/>
    <sheet name="Project" sheetId="8" r:id="rId4"/>
    <sheet name="Quiz" sheetId="10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7" i="6" l="1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J37" i="6"/>
  <c r="J36" i="6"/>
  <c r="J35" i="6"/>
  <c r="J34" i="6"/>
  <c r="J33" i="6"/>
  <c r="J32" i="6"/>
  <c r="J31" i="6"/>
  <c r="K31" i="6" s="1"/>
  <c r="J30" i="6"/>
  <c r="J29" i="6"/>
  <c r="K29" i="6" s="1"/>
  <c r="J28" i="6"/>
  <c r="J27" i="6"/>
  <c r="J26" i="6"/>
  <c r="J25" i="6"/>
  <c r="J24" i="6"/>
  <c r="J23" i="6"/>
  <c r="J22" i="6"/>
  <c r="J21" i="6"/>
  <c r="K21" i="6" s="1"/>
  <c r="J20" i="6"/>
  <c r="K20" i="6" s="1"/>
  <c r="J19" i="6"/>
  <c r="K19" i="6" s="1"/>
  <c r="J18" i="6"/>
  <c r="J17" i="6"/>
  <c r="K17" i="6" s="1"/>
  <c r="J16" i="6"/>
  <c r="J15" i="6"/>
  <c r="J14" i="6"/>
  <c r="J13" i="6"/>
  <c r="K13" i="6" s="1"/>
  <c r="J12" i="6"/>
  <c r="J11" i="6"/>
  <c r="J10" i="6"/>
  <c r="J9" i="6"/>
  <c r="K9" i="6" s="1"/>
  <c r="J8" i="6"/>
  <c r="K8" i="6" s="1"/>
  <c r="J7" i="6"/>
  <c r="J6" i="6"/>
  <c r="J5" i="6"/>
  <c r="K37" i="6"/>
  <c r="K35" i="6"/>
  <c r="K33" i="6"/>
  <c r="K32" i="6"/>
  <c r="K25" i="6"/>
  <c r="K24" i="6"/>
  <c r="K16" i="6"/>
  <c r="K4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7" i="6" l="1"/>
  <c r="K11" i="6"/>
  <c r="K15" i="6"/>
  <c r="K23" i="6"/>
  <c r="K27" i="6"/>
  <c r="K12" i="6"/>
  <c r="K28" i="6"/>
  <c r="K36" i="6"/>
  <c r="K6" i="6"/>
  <c r="K10" i="6"/>
  <c r="K14" i="6"/>
  <c r="K18" i="6"/>
  <c r="K22" i="6"/>
  <c r="K26" i="6"/>
  <c r="K30" i="6"/>
  <c r="K34" i="6"/>
  <c r="K5" i="6"/>
</calcChain>
</file>

<file path=xl/sharedStrings.xml><?xml version="1.0" encoding="utf-8"?>
<sst xmlns="http://schemas.openxmlformats.org/spreadsheetml/2006/main" count="257" uniqueCount="113">
  <si>
    <t xml:space="preserve">ABIN ALIAS  </t>
  </si>
  <si>
    <t xml:space="preserve">AKSHAY REDDY TUPALLY  </t>
  </si>
  <si>
    <t xml:space="preserve">ALISHA SAMAL  </t>
  </si>
  <si>
    <t xml:space="preserve">AMAN VOHRA  </t>
  </si>
  <si>
    <t xml:space="preserve">ANISHA KOUL  </t>
  </si>
  <si>
    <t xml:space="preserve">ANUJ GAUR  </t>
  </si>
  <si>
    <t xml:space="preserve">ANURAG MESHRAM  </t>
  </si>
  <si>
    <t xml:space="preserve">ARITRA KARAN  </t>
  </si>
  <si>
    <t xml:space="preserve">ARNAV CHAUHAN  </t>
  </si>
  <si>
    <t xml:space="preserve">BISWAS MANISH DILIP  </t>
  </si>
  <si>
    <t xml:space="preserve">DEBASISH SADANGI  </t>
  </si>
  <si>
    <t xml:space="preserve">GAUTAM KUMAR  </t>
  </si>
  <si>
    <t xml:space="preserve">GUNEET KAUR  </t>
  </si>
  <si>
    <t xml:space="preserve">HIRANMAYI G  </t>
  </si>
  <si>
    <t xml:space="preserve">HRITHIK PRAKASH BOKADE  </t>
  </si>
  <si>
    <t xml:space="preserve">INDRANIL HALDER  </t>
  </si>
  <si>
    <t xml:space="preserve">JITHIN GOPAKUMAR KAZHUTHOLAN  </t>
  </si>
  <si>
    <t xml:space="preserve">KARAMJEET SINGH  </t>
  </si>
  <si>
    <t xml:space="preserve">KARTHIK RAJ R  </t>
  </si>
  <si>
    <t xml:space="preserve">MAYANK SHARMA  </t>
  </si>
  <si>
    <t xml:space="preserve">PANDEY MAYANKKUMAR RAMESHBHAI  </t>
  </si>
  <si>
    <t xml:space="preserve">PANDYA HEMANG VIJAYBHAI  </t>
  </si>
  <si>
    <t xml:space="preserve">PRANAV MEHTA  </t>
  </si>
  <si>
    <t xml:space="preserve">S . ADITYA PRAKASH  </t>
  </si>
  <si>
    <t xml:space="preserve">SAIYAM PREET SINGH  </t>
  </si>
  <si>
    <t xml:space="preserve">SANSKRITI BAHADUR  </t>
  </si>
  <si>
    <t xml:space="preserve">SHIVAM TAYAL  </t>
  </si>
  <si>
    <t xml:space="preserve">SIMON MONACHAN  </t>
  </si>
  <si>
    <t xml:space="preserve">SIMRAN DHINGRA  </t>
  </si>
  <si>
    <t xml:space="preserve">SUMENDU GAUTAMAN  </t>
  </si>
  <si>
    <t xml:space="preserve">TANDEL SHREYKUMAR BHAVINBHAI  </t>
  </si>
  <si>
    <t xml:space="preserve">VIGNESH RAGHAV SUNDARESAN  </t>
  </si>
  <si>
    <t xml:space="preserve">SRIYANSH SHAW  </t>
  </si>
  <si>
    <t>Sr.No.</t>
  </si>
  <si>
    <t xml:space="preserve">PRN </t>
  </si>
  <si>
    <t>Name</t>
  </si>
  <si>
    <t>Mid Term</t>
  </si>
  <si>
    <t>No output</t>
  </si>
  <si>
    <t>Comments</t>
  </si>
  <si>
    <t>Total</t>
  </si>
  <si>
    <t>No word doc and Insights</t>
  </si>
  <si>
    <t>No insights</t>
  </si>
  <si>
    <t xml:space="preserve">Reading the file was incorrect. </t>
  </si>
  <si>
    <t>Class test</t>
  </si>
  <si>
    <t>Project</t>
  </si>
  <si>
    <t>Assignment</t>
  </si>
  <si>
    <t>Class Test</t>
  </si>
  <si>
    <t>Assignment in R</t>
  </si>
  <si>
    <t>Mid term Total</t>
  </si>
  <si>
    <t>Video Games Sales</t>
  </si>
  <si>
    <t>Score</t>
  </si>
  <si>
    <t>Netflix</t>
  </si>
  <si>
    <t>Video Games Analysis</t>
  </si>
  <si>
    <t>FIFA</t>
  </si>
  <si>
    <t>OYO</t>
  </si>
  <si>
    <t>Amazon Books</t>
  </si>
  <si>
    <t>Group#</t>
  </si>
  <si>
    <t>PRN</t>
  </si>
  <si>
    <t>SL.NO</t>
  </si>
  <si>
    <t>PRN/Name</t>
  </si>
  <si>
    <t>Row Type</t>
  </si>
  <si>
    <t>Marks</t>
  </si>
  <si>
    <t>Pranav Mehta</t>
  </si>
  <si>
    <t>Timestamp</t>
  </si>
  <si>
    <t>Username</t>
  </si>
  <si>
    <t xml:space="preserve">1. Library that is used to process different file format
</t>
  </si>
  <si>
    <t xml:space="preserve">2. Function to get details about the columns - Column names, its Data types, not null count ____________
</t>
  </si>
  <si>
    <t xml:space="preserve">3) Function to get details on number of rows and columns - ________________
</t>
  </si>
  <si>
    <t xml:space="preserve">4) Function to get distinct values in the column -_____________
</t>
  </si>
  <si>
    <t>5) Function to get last 5 rows from a dataframe -_____________</t>
  </si>
  <si>
    <t>6) How to retrieve the Product column from the below mentioned dataframe? The dataframe can be referenced as sales_df.</t>
  </si>
  <si>
    <t>7) Plot a bar plot using the sales_df
sns.barplot(x=________ , y=_______, data=______)</t>
  </si>
  <si>
    <t>8) Sort the sales_df dataframe by Sales column
sales_df.sort_values(_____________)</t>
  </si>
  <si>
    <t>9) Complete the command to format the date
old_date = '01-12-2020'
new_date = pd.to_datetime(______, format=________)</t>
  </si>
  <si>
    <t>10) With what special character the line has to be prefixed while specifying comments</t>
  </si>
  <si>
    <t>11)
txt = "hello world"
print(txt.title())
What is the output of the above code</t>
  </si>
  <si>
    <t>12)
x = lambda a, b, c : a + b ** c
print(x(5, 3, 2))</t>
  </si>
  <si>
    <t>13. What is the output of the following code? (1)
vehicle_details = {
  "brand": "Ford",
  "model": "Aspire",
  "year": 1997
}
for x in vehicle_details.values():
  print(x)</t>
  </si>
  <si>
    <t>14) Name a data visualization library.</t>
  </si>
  <si>
    <t>15) Function to read a csv file
import pandas as pd
df = _____________("myfile.csv")</t>
  </si>
  <si>
    <t>shivam.tayal24ba@gmail.com</t>
  </si>
  <si>
    <t>hiranmayi.guntur24ba@sibm.edu.in</t>
  </si>
  <si>
    <t>jithin.gopakumar24ba@sibm.edu.in</t>
  </si>
  <si>
    <t>abin.alias24ba@sibm.edu.in</t>
  </si>
  <si>
    <t>simon.monachan24ba@sibm.edu.in</t>
  </si>
  <si>
    <t>gautam.kumar24ba@sibm.edu.in</t>
  </si>
  <si>
    <t>debasish.sadangi24ba@sibm.edu.in</t>
  </si>
  <si>
    <t>anisha.koul24ba@sibm.edu.in</t>
  </si>
  <si>
    <t>manish.biswas24ba@sibm.edu.in</t>
  </si>
  <si>
    <t>akshay.reddy24ba@sibm.edu.in</t>
  </si>
  <si>
    <t>arnav.chauhan24ba@sibm.edu.in</t>
  </si>
  <si>
    <t>singh.karamjeet24ba@sibm.edu.in</t>
  </si>
  <si>
    <t>aritra.karan24ba@sibm.edu.in</t>
  </si>
  <si>
    <t>sumendu.sautaman24ba@sibm.edu.in</t>
  </si>
  <si>
    <t>guneet.kaur24ba@sibm.edu.in</t>
  </si>
  <si>
    <t>hemang.pandya24ba@sibm.edu.in</t>
  </si>
  <si>
    <t>sriyansh.shaw24ba@sibm.edu.in</t>
  </si>
  <si>
    <t>anurag.meshram24ba@sibm.edu.in</t>
  </si>
  <si>
    <t>indranil.halder24ba@sibm.edu.in</t>
  </si>
  <si>
    <t>simran.dhingra24ba@sibm.edu.in</t>
  </si>
  <si>
    <t>vigneshraghav.sundaresan24ba@sibm.edu.in</t>
  </si>
  <si>
    <t>mayank.sharma24ba@sibm.edu.in</t>
  </si>
  <si>
    <t>aman.vohra24ba@sibm.edu.in</t>
  </si>
  <si>
    <t>alisha.samal24ba@sibm.edu.in</t>
  </si>
  <si>
    <t>hrithik.bokade24ba@sibm.edu.in</t>
  </si>
  <si>
    <t>saiyam.singh24ba@sibm.edu.in</t>
  </si>
  <si>
    <t>tandel.shreykumar24ba@sibm.edu.in</t>
  </si>
  <si>
    <t>karthik.raj24ba@sibm.edu.in</t>
  </si>
  <si>
    <t>aditya.prakash24ba@sibm.edu.in</t>
  </si>
  <si>
    <t>sanskriti.bahadur24ba@sibm.edu.in</t>
  </si>
  <si>
    <t>anuj.gaur24ba@sibm.edu.in</t>
  </si>
  <si>
    <t>mayank.pandey24ba@sibm.edu.in</t>
  </si>
  <si>
    <t>pranav.mehta24ba@sibm.edu.in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</si>
</sst>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1"/>
      <color theme="1"/>
      <name val="Arial"/>
      <family val="2"/>
    </font>
    <font>
      <b/>
      <sz val="12"/>
      <color theme="1"/>
      <name val="Cambria"/>
      <family val="1"/>
    </font>
    <font>
      <sz val="11"/>
      <color theme="1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1" fillId="0" borderId="1" xfId="1" applyFont="1" applyBorder="1" applyAlignment="1">
      <alignment vertical="center"/>
    </xf>
    <xf numFmtId="0" fontId="5" fillId="0" borderId="1" xfId="1" applyFont="1" applyFill="1" applyBorder="1" applyAlignment="1">
      <alignment vertical="center"/>
    </xf>
    <xf numFmtId="0" fontId="1" fillId="0" borderId="1" xfId="1" applyFont="1" applyFill="1" applyBorder="1" applyAlignment="1">
      <alignment vertical="center"/>
    </xf>
    <xf numFmtId="0" fontId="5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 wrapText="1"/>
    </xf>
    <xf numFmtId="0" fontId="0" fillId="0" borderId="1" xfId="0" applyBorder="1"/>
    <xf numFmtId="0" fontId="4" fillId="0" borderId="1" xfId="1" applyFont="1" applyBorder="1" applyAlignment="1">
      <alignment horizontal="center" vertical="center" wrapText="1"/>
    </xf>
    <xf numFmtId="0" fontId="6" fillId="0" borderId="1" xfId="0" applyFont="1" applyBorder="1"/>
    <xf numFmtId="16" fontId="6" fillId="0" borderId="1" xfId="0" applyNumberFormat="1" applyFont="1" applyBorder="1"/>
    <xf numFmtId="0" fontId="6" fillId="0" borderId="1" xfId="0" applyFont="1" applyFill="1" applyBorder="1"/>
    <xf numFmtId="0" fontId="0" fillId="0" borderId="1" xfId="0" applyFill="1" applyBorder="1"/>
    <xf numFmtId="16" fontId="6" fillId="0" borderId="1" xfId="0" applyNumberFormat="1" applyFont="1" applyFill="1" applyBorder="1"/>
    <xf numFmtId="0" fontId="7" fillId="0" borderId="1" xfId="0" applyFont="1" applyBorder="1"/>
    <xf numFmtId="0" fontId="8" fillId="0" borderId="1" xfId="0" applyFont="1" applyBorder="1"/>
    <xf numFmtId="0" fontId="7" fillId="0" borderId="1" xfId="0" applyFont="1" applyFill="1" applyBorder="1"/>
    <xf numFmtId="0" fontId="9" fillId="0" borderId="1" xfId="0" applyFont="1" applyBorder="1"/>
    <xf numFmtId="0" fontId="10" fillId="0" borderId="1" xfId="0" applyFont="1" applyBorder="1"/>
    <xf numFmtId="0" fontId="9" fillId="0" borderId="1" xfId="0" applyFont="1" applyFill="1" applyBorder="1"/>
    <xf numFmtId="0" fontId="10" fillId="0" borderId="1" xfId="0" applyFont="1" applyFill="1" applyBorder="1"/>
    <xf numFmtId="16" fontId="9" fillId="0" borderId="1" xfId="0" applyNumberFormat="1" applyFont="1" applyBorder="1"/>
    <xf numFmtId="16" fontId="9" fillId="0" borderId="1" xfId="0" applyNumberFormat="1" applyFont="1" applyFill="1" applyBorder="1"/>
    <xf numFmtId="16" fontId="10" fillId="0" borderId="1" xfId="0" applyNumberFormat="1" applyFont="1" applyFill="1" applyBorder="1"/>
    <xf numFmtId="0" fontId="6" fillId="0" borderId="0" xfId="0" applyFont="1"/>
    <xf numFmtId="20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5EC49D00-808B-4510-9FA4-4FEC21FF79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A7361-12A8-4668-A674-E361293B2687}">
  <dimension ref="A1:K37"/>
  <sheetViews>
    <sheetView tabSelected="1" topLeftCell="A10" workbookViewId="0">
      <selection activeCell="J25" sqref="J25"/>
    </sheetView>
  </sheetViews>
  <sheetFormatPr defaultRowHeight="15" x14ac:dyDescent="0.25"/>
  <cols>
    <col min="2" max="2" width="17.5703125" customWidth="1"/>
    <col min="3" max="3" width="26.5703125" customWidth="1"/>
    <col min="4" max="4" width="14" customWidth="1"/>
    <col min="5" max="5" width="13.42578125" customWidth="1"/>
    <col min="6" max="6" width="16" customWidth="1"/>
    <col min="8" max="8" width="11.7109375" customWidth="1"/>
    <col min="11" max="11" width="9.140625" style="25"/>
  </cols>
  <sheetData>
    <row r="1" spans="1:11" ht="15.75" x14ac:dyDescent="0.25">
      <c r="A1" s="5" t="s">
        <v>33</v>
      </c>
      <c r="B1" s="6" t="s">
        <v>34</v>
      </c>
      <c r="C1" s="7" t="s">
        <v>35</v>
      </c>
      <c r="D1" s="10" t="s">
        <v>36</v>
      </c>
      <c r="E1" s="10" t="s">
        <v>47</v>
      </c>
      <c r="F1" s="15" t="s">
        <v>48</v>
      </c>
      <c r="G1" s="10" t="s">
        <v>46</v>
      </c>
      <c r="H1" s="12" t="s">
        <v>45</v>
      </c>
      <c r="I1" s="12" t="s">
        <v>43</v>
      </c>
      <c r="J1" s="12" t="s">
        <v>44</v>
      </c>
      <c r="K1" s="17" t="s">
        <v>39</v>
      </c>
    </row>
    <row r="2" spans="1:11" ht="18.75" x14ac:dyDescent="0.3">
      <c r="A2" s="5"/>
      <c r="B2" s="6"/>
      <c r="C2" s="7"/>
      <c r="D2" s="22">
        <v>44778</v>
      </c>
      <c r="E2" s="23">
        <v>44789</v>
      </c>
      <c r="F2" s="24"/>
      <c r="G2" s="23">
        <v>44811</v>
      </c>
      <c r="H2" s="23">
        <v>44814</v>
      </c>
      <c r="I2" s="23">
        <v>44825</v>
      </c>
      <c r="J2" s="23">
        <v>44825</v>
      </c>
      <c r="K2" s="21"/>
    </row>
    <row r="3" spans="1:11" ht="18.75" x14ac:dyDescent="0.3">
      <c r="A3" s="5"/>
      <c r="B3" s="6"/>
      <c r="C3" s="7"/>
      <c r="D3" s="22">
        <v>44805</v>
      </c>
      <c r="E3" s="23">
        <v>44805</v>
      </c>
      <c r="F3" s="24"/>
      <c r="G3" s="23">
        <v>44824</v>
      </c>
      <c r="H3" s="23">
        <v>44824</v>
      </c>
      <c r="I3" s="23">
        <v>44826</v>
      </c>
      <c r="J3" s="23">
        <v>44826</v>
      </c>
      <c r="K3" s="21"/>
    </row>
    <row r="4" spans="1:11" ht="18.75" x14ac:dyDescent="0.3">
      <c r="A4" s="5"/>
      <c r="B4" s="6"/>
      <c r="C4" s="7"/>
      <c r="D4" s="18">
        <v>10</v>
      </c>
      <c r="E4" s="18">
        <v>10</v>
      </c>
      <c r="F4" s="19">
        <v>20</v>
      </c>
      <c r="G4" s="18">
        <v>5</v>
      </c>
      <c r="H4" s="18">
        <v>5</v>
      </c>
      <c r="I4" s="18">
        <v>15</v>
      </c>
      <c r="J4" s="20">
        <v>15</v>
      </c>
      <c r="K4" s="19">
        <f>SUM(F4,G4,H4,I4,J4)</f>
        <v>60</v>
      </c>
    </row>
    <row r="5" spans="1:11" x14ac:dyDescent="0.25">
      <c r="A5" s="9">
        <v>1</v>
      </c>
      <c r="B5" s="1">
        <v>22020845001</v>
      </c>
      <c r="C5" s="1" t="s">
        <v>0</v>
      </c>
      <c r="D5" s="8">
        <v>4</v>
      </c>
      <c r="E5" s="8">
        <v>8</v>
      </c>
      <c r="F5" s="16">
        <f>SUM(D5:E5)</f>
        <v>12</v>
      </c>
      <c r="G5" s="8">
        <v>3</v>
      </c>
      <c r="H5" s="8">
        <v>4</v>
      </c>
      <c r="I5" s="8">
        <f>VLOOKUP(B5,'Quiz Marks'!A:B,2,FALSE)</f>
        <v>12</v>
      </c>
      <c r="J5" s="8">
        <f>VLOOKUP(B5,Project!B:E,4,FALSE)</f>
        <v>10</v>
      </c>
      <c r="K5" s="15">
        <f t="shared" ref="K5:K37" si="0">SUM(F5,G5,H5,I5,J5)</f>
        <v>41</v>
      </c>
    </row>
    <row r="6" spans="1:11" x14ac:dyDescent="0.25">
      <c r="A6" s="9">
        <v>2</v>
      </c>
      <c r="B6" s="1">
        <v>22020845002</v>
      </c>
      <c r="C6" s="1" t="s">
        <v>1</v>
      </c>
      <c r="D6" s="8">
        <v>7.5</v>
      </c>
      <c r="E6" s="8">
        <v>8</v>
      </c>
      <c r="F6" s="16">
        <f t="shared" ref="F6:F37" si="1">SUM(D6:E6)</f>
        <v>15.5</v>
      </c>
      <c r="G6" s="8">
        <v>4</v>
      </c>
      <c r="H6" s="8">
        <v>5</v>
      </c>
      <c r="I6" s="8">
        <f>VLOOKUP(B6,'Quiz Marks'!A:B,2,FALSE)</f>
        <v>10</v>
      </c>
      <c r="J6" s="8">
        <f>VLOOKUP(B6,Project!B:E,4,FALSE)</f>
        <v>10</v>
      </c>
      <c r="K6" s="15">
        <f t="shared" si="0"/>
        <v>44.5</v>
      </c>
    </row>
    <row r="7" spans="1:11" x14ac:dyDescent="0.25">
      <c r="A7" s="9">
        <v>3</v>
      </c>
      <c r="B7" s="1">
        <v>22020845003</v>
      </c>
      <c r="C7" s="1" t="s">
        <v>2</v>
      </c>
      <c r="D7" s="8">
        <v>3</v>
      </c>
      <c r="E7" s="8">
        <v>9</v>
      </c>
      <c r="F7" s="16">
        <f t="shared" si="1"/>
        <v>12</v>
      </c>
      <c r="G7" s="8">
        <v>2</v>
      </c>
      <c r="H7" s="8">
        <v>4</v>
      </c>
      <c r="I7" s="8">
        <f>VLOOKUP(B7,'Quiz Marks'!A:B,2,FALSE)</f>
        <v>12</v>
      </c>
      <c r="J7" s="8">
        <f>VLOOKUP(B7,Project!B:E,4,FALSE)</f>
        <v>9</v>
      </c>
      <c r="K7" s="15">
        <f t="shared" si="0"/>
        <v>39</v>
      </c>
    </row>
    <row r="8" spans="1:11" x14ac:dyDescent="0.25">
      <c r="A8" s="9">
        <v>4</v>
      </c>
      <c r="B8" s="1">
        <v>22020845004</v>
      </c>
      <c r="C8" s="1" t="s">
        <v>3</v>
      </c>
      <c r="D8" s="8">
        <v>3</v>
      </c>
      <c r="E8" s="8">
        <v>8</v>
      </c>
      <c r="F8" s="16">
        <f t="shared" si="1"/>
        <v>11</v>
      </c>
      <c r="G8" s="8">
        <v>2</v>
      </c>
      <c r="H8" s="8">
        <v>4</v>
      </c>
      <c r="I8" s="8">
        <f>VLOOKUP(B8,'Quiz Marks'!A:B,2,FALSE)</f>
        <v>8</v>
      </c>
      <c r="J8" s="8">
        <f>VLOOKUP(B8,Project!B:E,4,FALSE)</f>
        <v>10</v>
      </c>
      <c r="K8" s="15">
        <f t="shared" si="0"/>
        <v>35</v>
      </c>
    </row>
    <row r="9" spans="1:11" x14ac:dyDescent="0.25">
      <c r="A9" s="9">
        <v>5</v>
      </c>
      <c r="B9" s="1">
        <v>22020845005</v>
      </c>
      <c r="C9" s="1" t="s">
        <v>4</v>
      </c>
      <c r="D9" s="8">
        <v>4</v>
      </c>
      <c r="E9" s="8">
        <v>7.5</v>
      </c>
      <c r="F9" s="16">
        <f t="shared" si="1"/>
        <v>11.5</v>
      </c>
      <c r="G9" s="13">
        <v>3</v>
      </c>
      <c r="H9" s="8">
        <v>4</v>
      </c>
      <c r="I9" s="8">
        <f>VLOOKUP(B9,'Quiz Marks'!A:B,2,FALSE)</f>
        <v>6</v>
      </c>
      <c r="J9" s="8">
        <f>VLOOKUP(B9,Project!B:E,4,FALSE)</f>
        <v>9</v>
      </c>
      <c r="K9" s="15">
        <f t="shared" si="0"/>
        <v>33.5</v>
      </c>
    </row>
    <row r="10" spans="1:11" x14ac:dyDescent="0.25">
      <c r="A10" s="9">
        <v>6</v>
      </c>
      <c r="B10" s="1">
        <v>22020845006</v>
      </c>
      <c r="C10" s="1" t="s">
        <v>5</v>
      </c>
      <c r="D10" s="8">
        <v>0</v>
      </c>
      <c r="E10" s="8">
        <v>8</v>
      </c>
      <c r="F10" s="16">
        <f t="shared" si="1"/>
        <v>8</v>
      </c>
      <c r="G10" s="8">
        <v>3</v>
      </c>
      <c r="H10" s="8">
        <v>4</v>
      </c>
      <c r="I10" s="8">
        <f>VLOOKUP(B10,'Quiz Marks'!A:B,2,FALSE)</f>
        <v>9</v>
      </c>
      <c r="J10" s="8">
        <f>VLOOKUP(B10,Project!B:E,4,FALSE)</f>
        <v>11</v>
      </c>
      <c r="K10" s="15">
        <f t="shared" si="0"/>
        <v>35</v>
      </c>
    </row>
    <row r="11" spans="1:11" x14ac:dyDescent="0.25">
      <c r="A11" s="9">
        <v>7</v>
      </c>
      <c r="B11" s="1">
        <v>22020845007</v>
      </c>
      <c r="C11" s="1" t="s">
        <v>6</v>
      </c>
      <c r="D11" s="8">
        <v>3</v>
      </c>
      <c r="E11" s="8">
        <v>8.5</v>
      </c>
      <c r="F11" s="16">
        <f t="shared" si="1"/>
        <v>11.5</v>
      </c>
      <c r="G11" s="13">
        <v>3</v>
      </c>
      <c r="H11" s="8">
        <v>4</v>
      </c>
      <c r="I11" s="8">
        <f>VLOOKUP(B11,'Quiz Marks'!A:B,2,FALSE)</f>
        <v>10</v>
      </c>
      <c r="J11" s="8">
        <f>VLOOKUP(B11,Project!B:E,4,FALSE)</f>
        <v>12</v>
      </c>
      <c r="K11" s="15">
        <f t="shared" si="0"/>
        <v>40.5</v>
      </c>
    </row>
    <row r="12" spans="1:11" x14ac:dyDescent="0.25">
      <c r="A12" s="9">
        <v>8</v>
      </c>
      <c r="B12" s="1">
        <v>22020845008</v>
      </c>
      <c r="C12" s="1" t="s">
        <v>7</v>
      </c>
      <c r="D12" s="8">
        <v>3</v>
      </c>
      <c r="E12" s="8">
        <v>9.5</v>
      </c>
      <c r="F12" s="16">
        <f t="shared" si="1"/>
        <v>12.5</v>
      </c>
      <c r="G12" s="8">
        <v>3</v>
      </c>
      <c r="H12" s="8">
        <v>4</v>
      </c>
      <c r="I12" s="8">
        <f>VLOOKUP(B12,'Quiz Marks'!A:B,2,FALSE)</f>
        <v>4</v>
      </c>
      <c r="J12" s="8">
        <f>VLOOKUP(B12,Project!B:E,4,FALSE)</f>
        <v>13</v>
      </c>
      <c r="K12" s="15">
        <f t="shared" si="0"/>
        <v>36.5</v>
      </c>
    </row>
    <row r="13" spans="1:11" x14ac:dyDescent="0.25">
      <c r="A13" s="9">
        <v>9</v>
      </c>
      <c r="B13" s="1">
        <v>22020845009</v>
      </c>
      <c r="C13" s="1" t="s">
        <v>8</v>
      </c>
      <c r="D13" s="8">
        <v>4</v>
      </c>
      <c r="E13" s="8">
        <v>8</v>
      </c>
      <c r="F13" s="16">
        <f t="shared" si="1"/>
        <v>12</v>
      </c>
      <c r="G13" s="8">
        <v>3</v>
      </c>
      <c r="H13" s="8">
        <v>4</v>
      </c>
      <c r="I13" s="8">
        <f>VLOOKUP(B13,'Quiz Marks'!A:B,2,FALSE)</f>
        <v>10</v>
      </c>
      <c r="J13" s="8">
        <f>VLOOKUP(B13,Project!B:E,4,FALSE)</f>
        <v>9</v>
      </c>
      <c r="K13" s="15">
        <f t="shared" si="0"/>
        <v>38</v>
      </c>
    </row>
    <row r="14" spans="1:11" x14ac:dyDescent="0.25">
      <c r="A14" s="9">
        <v>10</v>
      </c>
      <c r="B14" s="1">
        <v>22020845010</v>
      </c>
      <c r="C14" s="1" t="s">
        <v>9</v>
      </c>
      <c r="D14" s="8">
        <v>3</v>
      </c>
      <c r="E14" s="8">
        <v>8.5</v>
      </c>
      <c r="F14" s="16">
        <f t="shared" si="1"/>
        <v>11.5</v>
      </c>
      <c r="G14" s="8">
        <v>2</v>
      </c>
      <c r="H14" s="8">
        <v>4</v>
      </c>
      <c r="I14" s="8">
        <f>VLOOKUP(B14,'Quiz Marks'!A:B,2,FALSE)</f>
        <v>7</v>
      </c>
      <c r="J14" s="8">
        <f>VLOOKUP(B14,Project!B:E,4,FALSE)</f>
        <v>12.5</v>
      </c>
      <c r="K14" s="15">
        <f t="shared" si="0"/>
        <v>37</v>
      </c>
    </row>
    <row r="15" spans="1:11" x14ac:dyDescent="0.25">
      <c r="A15" s="9">
        <v>11</v>
      </c>
      <c r="B15" s="1">
        <v>22020845011</v>
      </c>
      <c r="C15" s="1" t="s">
        <v>10</v>
      </c>
      <c r="D15" s="8">
        <v>5</v>
      </c>
      <c r="E15" s="8">
        <v>8.5</v>
      </c>
      <c r="F15" s="16">
        <f t="shared" si="1"/>
        <v>13.5</v>
      </c>
      <c r="G15" s="8">
        <v>3</v>
      </c>
      <c r="H15" s="8">
        <v>5</v>
      </c>
      <c r="I15" s="8">
        <f>VLOOKUP(B15,'Quiz Marks'!A:B,2,FALSE)</f>
        <v>13</v>
      </c>
      <c r="J15" s="8">
        <f>VLOOKUP(B15,Project!B:E,4,FALSE)</f>
        <v>11</v>
      </c>
      <c r="K15" s="15">
        <f t="shared" si="0"/>
        <v>45.5</v>
      </c>
    </row>
    <row r="16" spans="1:11" x14ac:dyDescent="0.25">
      <c r="A16" s="9">
        <v>12</v>
      </c>
      <c r="B16" s="1">
        <v>22020845012</v>
      </c>
      <c r="C16" s="1" t="s">
        <v>11</v>
      </c>
      <c r="D16" s="8">
        <v>6</v>
      </c>
      <c r="E16" s="8">
        <v>8</v>
      </c>
      <c r="F16" s="16">
        <f t="shared" si="1"/>
        <v>14</v>
      </c>
      <c r="G16" s="8">
        <v>3</v>
      </c>
      <c r="H16" s="13">
        <v>4</v>
      </c>
      <c r="I16" s="8">
        <f>VLOOKUP(B16,'Quiz Marks'!A:B,2,FALSE)</f>
        <v>8</v>
      </c>
      <c r="J16" s="8">
        <f>VLOOKUP(B16,Project!B:E,4,FALSE)</f>
        <v>12.5</v>
      </c>
      <c r="K16" s="15">
        <f t="shared" si="0"/>
        <v>41.5</v>
      </c>
    </row>
    <row r="17" spans="1:11" x14ac:dyDescent="0.25">
      <c r="A17" s="9">
        <v>13</v>
      </c>
      <c r="B17" s="1">
        <v>22020845013</v>
      </c>
      <c r="C17" s="1" t="s">
        <v>12</v>
      </c>
      <c r="D17" s="8">
        <v>8.5</v>
      </c>
      <c r="E17" s="8">
        <v>8</v>
      </c>
      <c r="F17" s="16">
        <f t="shared" si="1"/>
        <v>16.5</v>
      </c>
      <c r="G17" s="8">
        <v>3</v>
      </c>
      <c r="H17" s="8">
        <v>4</v>
      </c>
      <c r="I17" s="8">
        <f>VLOOKUP(B17,'Quiz Marks'!A:B,2,FALSE)</f>
        <v>11</v>
      </c>
      <c r="J17" s="8">
        <f>VLOOKUP(B17,Project!B:E,4,FALSE)</f>
        <v>12</v>
      </c>
      <c r="K17" s="15">
        <f t="shared" si="0"/>
        <v>46.5</v>
      </c>
    </row>
    <row r="18" spans="1:11" x14ac:dyDescent="0.25">
      <c r="A18" s="9">
        <v>14</v>
      </c>
      <c r="B18" s="1">
        <v>22020845014</v>
      </c>
      <c r="C18" s="1" t="s">
        <v>13</v>
      </c>
      <c r="D18" s="8">
        <v>7</v>
      </c>
      <c r="E18" s="8">
        <v>7</v>
      </c>
      <c r="F18" s="16">
        <f t="shared" si="1"/>
        <v>14</v>
      </c>
      <c r="G18" s="8">
        <v>3</v>
      </c>
      <c r="H18" s="8">
        <v>4</v>
      </c>
      <c r="I18" s="8">
        <f>VLOOKUP(B18,'Quiz Marks'!A:B,2,FALSE)</f>
        <v>11</v>
      </c>
      <c r="J18" s="8">
        <f>VLOOKUP(B18,Project!B:E,4,FALSE)</f>
        <v>11</v>
      </c>
      <c r="K18" s="15">
        <f t="shared" si="0"/>
        <v>43</v>
      </c>
    </row>
    <row r="19" spans="1:11" x14ac:dyDescent="0.25">
      <c r="A19" s="9">
        <v>15</v>
      </c>
      <c r="B19" s="1">
        <v>22020845015</v>
      </c>
      <c r="C19" s="2" t="s">
        <v>14</v>
      </c>
      <c r="D19" s="8">
        <v>7</v>
      </c>
      <c r="E19" s="8">
        <v>7</v>
      </c>
      <c r="F19" s="16">
        <f t="shared" si="1"/>
        <v>14</v>
      </c>
      <c r="G19" s="8">
        <v>3</v>
      </c>
      <c r="H19" s="8">
        <v>4</v>
      </c>
      <c r="I19" s="8">
        <f>VLOOKUP(B19,'Quiz Marks'!A:B,2,FALSE)</f>
        <v>7</v>
      </c>
      <c r="J19" s="8">
        <f>VLOOKUP(B19,Project!B:E,4,FALSE)</f>
        <v>9</v>
      </c>
      <c r="K19" s="15">
        <f t="shared" si="0"/>
        <v>37</v>
      </c>
    </row>
    <row r="20" spans="1:11" x14ac:dyDescent="0.25">
      <c r="A20" s="9">
        <v>16</v>
      </c>
      <c r="B20" s="1">
        <v>22020845016</v>
      </c>
      <c r="C20" s="1" t="s">
        <v>15</v>
      </c>
      <c r="D20" s="8">
        <v>4</v>
      </c>
      <c r="E20" s="8">
        <v>7</v>
      </c>
      <c r="F20" s="16">
        <f t="shared" si="1"/>
        <v>11</v>
      </c>
      <c r="G20" s="8">
        <v>3</v>
      </c>
      <c r="H20" s="8">
        <v>4</v>
      </c>
      <c r="I20" s="8">
        <f>VLOOKUP(B20,'Quiz Marks'!A:B,2,FALSE)</f>
        <v>8</v>
      </c>
      <c r="J20" s="8">
        <f>VLOOKUP(B20,Project!B:E,4,FALSE)</f>
        <v>12.5</v>
      </c>
      <c r="K20" s="15">
        <f t="shared" si="0"/>
        <v>38.5</v>
      </c>
    </row>
    <row r="21" spans="1:11" x14ac:dyDescent="0.25">
      <c r="A21" s="9">
        <v>17</v>
      </c>
      <c r="B21" s="1">
        <v>22020845017</v>
      </c>
      <c r="C21" s="1" t="s">
        <v>16</v>
      </c>
      <c r="D21" s="8">
        <v>3</v>
      </c>
      <c r="E21" s="8">
        <v>8.5</v>
      </c>
      <c r="F21" s="16">
        <f t="shared" si="1"/>
        <v>11.5</v>
      </c>
      <c r="G21" s="8">
        <v>3</v>
      </c>
      <c r="H21" s="8">
        <v>5</v>
      </c>
      <c r="I21" s="8">
        <f>VLOOKUP(B21,'Quiz Marks'!A:B,2,FALSE)</f>
        <v>13</v>
      </c>
      <c r="J21" s="8">
        <f>VLOOKUP(B21,Project!B:E,4,FALSE)</f>
        <v>11</v>
      </c>
      <c r="K21" s="15">
        <f t="shared" si="0"/>
        <v>43.5</v>
      </c>
    </row>
    <row r="22" spans="1:11" x14ac:dyDescent="0.25">
      <c r="A22" s="9">
        <v>18</v>
      </c>
      <c r="B22" s="1">
        <v>22020845018</v>
      </c>
      <c r="C22" s="1" t="s">
        <v>17</v>
      </c>
      <c r="D22" s="8">
        <v>5</v>
      </c>
      <c r="E22" s="8">
        <v>8.5</v>
      </c>
      <c r="F22" s="16">
        <f t="shared" si="1"/>
        <v>13.5</v>
      </c>
      <c r="G22" s="8">
        <v>3</v>
      </c>
      <c r="H22" s="8">
        <v>4</v>
      </c>
      <c r="I22" s="8">
        <f>VLOOKUP(B22,'Quiz Marks'!A:B,2,FALSE)</f>
        <v>8</v>
      </c>
      <c r="J22" s="8">
        <f>VLOOKUP(B22,Project!B:E,4,FALSE)</f>
        <v>10</v>
      </c>
      <c r="K22" s="15">
        <f t="shared" si="0"/>
        <v>38.5</v>
      </c>
    </row>
    <row r="23" spans="1:11" x14ac:dyDescent="0.25">
      <c r="A23" s="9">
        <v>19</v>
      </c>
      <c r="B23" s="1">
        <v>22020845019</v>
      </c>
      <c r="C23" s="1" t="s">
        <v>18</v>
      </c>
      <c r="D23" s="8">
        <v>4</v>
      </c>
      <c r="E23" s="8">
        <v>7</v>
      </c>
      <c r="F23" s="16">
        <f t="shared" si="1"/>
        <v>11</v>
      </c>
      <c r="G23" s="8">
        <v>2</v>
      </c>
      <c r="H23" s="8">
        <v>4</v>
      </c>
      <c r="I23" s="8">
        <f>VLOOKUP(B23,'Quiz Marks'!A:B,2,FALSE)</f>
        <v>6</v>
      </c>
      <c r="J23" s="8">
        <f>VLOOKUP(B23,Project!B:E,4,FALSE)</f>
        <v>11</v>
      </c>
      <c r="K23" s="15">
        <f t="shared" si="0"/>
        <v>34</v>
      </c>
    </row>
    <row r="24" spans="1:11" x14ac:dyDescent="0.25">
      <c r="A24" s="9">
        <v>20</v>
      </c>
      <c r="B24" s="1">
        <v>22020845020</v>
      </c>
      <c r="C24" s="1" t="s">
        <v>19</v>
      </c>
      <c r="D24" s="8">
        <v>1</v>
      </c>
      <c r="E24" s="8">
        <v>7</v>
      </c>
      <c r="F24" s="16">
        <f t="shared" si="1"/>
        <v>8</v>
      </c>
      <c r="G24" s="8">
        <v>3</v>
      </c>
      <c r="H24" s="8">
        <v>4</v>
      </c>
      <c r="I24" s="8">
        <f>VLOOKUP(B24,'Quiz Marks'!A:B,2,FALSE)</f>
        <v>5</v>
      </c>
      <c r="J24" s="8">
        <f>VLOOKUP(B24,Project!B:E,4,FALSE)</f>
        <v>12</v>
      </c>
      <c r="K24" s="15">
        <f t="shared" si="0"/>
        <v>32</v>
      </c>
    </row>
    <row r="25" spans="1:11" x14ac:dyDescent="0.25">
      <c r="A25" s="9">
        <v>21</v>
      </c>
      <c r="B25" s="1">
        <v>22020845022</v>
      </c>
      <c r="C25" s="1" t="s">
        <v>20</v>
      </c>
      <c r="D25" s="8">
        <v>1</v>
      </c>
      <c r="E25" s="8">
        <v>8</v>
      </c>
      <c r="F25" s="16">
        <f t="shared" si="1"/>
        <v>9</v>
      </c>
      <c r="G25" s="8">
        <v>2</v>
      </c>
      <c r="H25" s="8">
        <v>4</v>
      </c>
      <c r="I25" s="8">
        <f>VLOOKUP(B25,'Quiz Marks'!A:B,2,FALSE)</f>
        <v>8</v>
      </c>
      <c r="J25" s="8">
        <f>VLOOKUP(B25,Project!B:E,4,FALSE)</f>
        <v>9</v>
      </c>
      <c r="K25" s="15">
        <f t="shared" si="0"/>
        <v>32</v>
      </c>
    </row>
    <row r="26" spans="1:11" x14ac:dyDescent="0.25">
      <c r="A26" s="9">
        <v>22</v>
      </c>
      <c r="B26" s="1">
        <v>22020845023</v>
      </c>
      <c r="C26" s="1" t="s">
        <v>21</v>
      </c>
      <c r="D26" s="8">
        <v>7</v>
      </c>
      <c r="E26" s="8">
        <v>8</v>
      </c>
      <c r="F26" s="16">
        <f t="shared" si="1"/>
        <v>15</v>
      </c>
      <c r="G26" s="8">
        <v>2</v>
      </c>
      <c r="H26" s="8">
        <v>4</v>
      </c>
      <c r="I26" s="8">
        <f>VLOOKUP(B26,'Quiz Marks'!A:B,2,FALSE)</f>
        <v>9</v>
      </c>
      <c r="J26" s="8">
        <f>VLOOKUP(B26,Project!B:E,4,FALSE)</f>
        <v>10</v>
      </c>
      <c r="K26" s="15">
        <f t="shared" si="0"/>
        <v>40</v>
      </c>
    </row>
    <row r="27" spans="1:11" x14ac:dyDescent="0.25">
      <c r="A27" s="9">
        <v>23</v>
      </c>
      <c r="B27" s="1">
        <v>22020845024</v>
      </c>
      <c r="C27" s="1" t="s">
        <v>22</v>
      </c>
      <c r="D27" s="8">
        <v>4</v>
      </c>
      <c r="E27" s="8">
        <v>7</v>
      </c>
      <c r="F27" s="16">
        <f t="shared" si="1"/>
        <v>11</v>
      </c>
      <c r="G27" s="8">
        <v>3</v>
      </c>
      <c r="H27" s="8">
        <v>4</v>
      </c>
      <c r="I27" s="8">
        <f>VLOOKUP(B27,'Quiz Marks'!A:B,2,FALSE)</f>
        <v>7</v>
      </c>
      <c r="J27" s="8">
        <f>VLOOKUP(B27,Project!B:E,4,FALSE)</f>
        <v>10</v>
      </c>
      <c r="K27" s="15">
        <f t="shared" si="0"/>
        <v>35</v>
      </c>
    </row>
    <row r="28" spans="1:11" x14ac:dyDescent="0.25">
      <c r="A28" s="9">
        <v>24</v>
      </c>
      <c r="B28" s="1">
        <v>22020845026</v>
      </c>
      <c r="C28" s="1" t="s">
        <v>23</v>
      </c>
      <c r="D28" s="8">
        <v>0</v>
      </c>
      <c r="E28" s="8">
        <v>7</v>
      </c>
      <c r="F28" s="16">
        <f t="shared" si="1"/>
        <v>7</v>
      </c>
      <c r="G28" s="8">
        <v>3</v>
      </c>
      <c r="H28" s="8">
        <v>4</v>
      </c>
      <c r="I28" s="8">
        <f>VLOOKUP(B28,'Quiz Marks'!A:B,2,FALSE)</f>
        <v>9</v>
      </c>
      <c r="J28" s="8">
        <f>VLOOKUP(B28,Project!B:E,4,FALSE)</f>
        <v>11.5</v>
      </c>
      <c r="K28" s="15">
        <f t="shared" si="0"/>
        <v>34.5</v>
      </c>
    </row>
    <row r="29" spans="1:11" x14ac:dyDescent="0.25">
      <c r="A29" s="9">
        <v>25</v>
      </c>
      <c r="B29" s="1">
        <v>22020845027</v>
      </c>
      <c r="C29" s="1" t="s">
        <v>24</v>
      </c>
      <c r="D29" s="8">
        <v>3</v>
      </c>
      <c r="E29" s="8">
        <v>7</v>
      </c>
      <c r="F29" s="16">
        <f t="shared" si="1"/>
        <v>10</v>
      </c>
      <c r="G29" s="8">
        <v>3</v>
      </c>
      <c r="H29" s="8">
        <v>4</v>
      </c>
      <c r="I29" s="8">
        <f>VLOOKUP(B29,'Quiz Marks'!A:B,2,FALSE)</f>
        <v>6</v>
      </c>
      <c r="J29" s="8">
        <f>VLOOKUP(B29,Project!B:E,4,FALSE)</f>
        <v>12</v>
      </c>
      <c r="K29" s="15">
        <f t="shared" si="0"/>
        <v>35</v>
      </c>
    </row>
    <row r="30" spans="1:11" x14ac:dyDescent="0.25">
      <c r="A30" s="9">
        <v>26</v>
      </c>
      <c r="B30" s="1">
        <v>22020845028</v>
      </c>
      <c r="C30" s="1" t="s">
        <v>25</v>
      </c>
      <c r="D30" s="8">
        <v>8</v>
      </c>
      <c r="E30" s="8">
        <v>8</v>
      </c>
      <c r="F30" s="16">
        <f t="shared" si="1"/>
        <v>16</v>
      </c>
      <c r="G30" s="13">
        <v>3</v>
      </c>
      <c r="H30" s="8">
        <v>4</v>
      </c>
      <c r="I30" s="8">
        <f>VLOOKUP(B30,'Quiz Marks'!A:B,2,FALSE)</f>
        <v>8</v>
      </c>
      <c r="J30" s="8">
        <f>VLOOKUP(B30,Project!B:E,4,FALSE)</f>
        <v>11</v>
      </c>
      <c r="K30" s="15">
        <f t="shared" si="0"/>
        <v>42</v>
      </c>
    </row>
    <row r="31" spans="1:11" x14ac:dyDescent="0.25">
      <c r="A31" s="9">
        <v>27</v>
      </c>
      <c r="B31" s="1">
        <v>22020845029</v>
      </c>
      <c r="C31" s="1" t="s">
        <v>26</v>
      </c>
      <c r="D31" s="8">
        <v>8.5</v>
      </c>
      <c r="E31" s="8">
        <v>9.5</v>
      </c>
      <c r="F31" s="16">
        <f t="shared" si="1"/>
        <v>18</v>
      </c>
      <c r="G31" s="8">
        <v>3</v>
      </c>
      <c r="H31" s="8">
        <v>4</v>
      </c>
      <c r="I31" s="8">
        <f>VLOOKUP(B31,'Quiz Marks'!A:B,2,FALSE)</f>
        <v>15</v>
      </c>
      <c r="J31" s="8">
        <f>VLOOKUP(B31,Project!B:E,4,FALSE)</f>
        <v>13</v>
      </c>
      <c r="K31" s="15">
        <f t="shared" si="0"/>
        <v>53</v>
      </c>
    </row>
    <row r="32" spans="1:11" x14ac:dyDescent="0.25">
      <c r="A32" s="9">
        <v>28</v>
      </c>
      <c r="B32" s="1">
        <v>22020845030</v>
      </c>
      <c r="C32" s="1" t="s">
        <v>27</v>
      </c>
      <c r="D32" s="8">
        <v>4</v>
      </c>
      <c r="E32" s="8">
        <v>8</v>
      </c>
      <c r="F32" s="16">
        <f t="shared" si="1"/>
        <v>12</v>
      </c>
      <c r="G32" s="8">
        <v>2</v>
      </c>
      <c r="H32" s="8">
        <v>4</v>
      </c>
      <c r="I32" s="8">
        <f>VLOOKUP(B32,'Quiz Marks'!A:B,2,FALSE)</f>
        <v>8</v>
      </c>
      <c r="J32" s="8">
        <f>VLOOKUP(B32,Project!B:E,4,FALSE)</f>
        <v>11</v>
      </c>
      <c r="K32" s="15">
        <f t="shared" si="0"/>
        <v>37</v>
      </c>
    </row>
    <row r="33" spans="1:11" x14ac:dyDescent="0.25">
      <c r="A33" s="9">
        <v>29</v>
      </c>
      <c r="B33" s="3">
        <v>22020845031</v>
      </c>
      <c r="C33" s="3" t="s">
        <v>28</v>
      </c>
      <c r="D33" s="8">
        <v>5</v>
      </c>
      <c r="E33" s="8">
        <v>8</v>
      </c>
      <c r="F33" s="16">
        <f t="shared" si="1"/>
        <v>13</v>
      </c>
      <c r="G33" s="8">
        <v>3</v>
      </c>
      <c r="H33" s="8">
        <v>4</v>
      </c>
      <c r="I33" s="8">
        <f>VLOOKUP(B33,'Quiz Marks'!A:B,2,FALSE)</f>
        <v>12</v>
      </c>
      <c r="J33" s="8">
        <f>VLOOKUP(B33,Project!B:E,4,FALSE)</f>
        <v>10</v>
      </c>
      <c r="K33" s="15">
        <f t="shared" si="0"/>
        <v>42</v>
      </c>
    </row>
    <row r="34" spans="1:11" x14ac:dyDescent="0.25">
      <c r="A34" s="9">
        <v>30</v>
      </c>
      <c r="B34" s="1">
        <v>22020845033</v>
      </c>
      <c r="C34" s="1" t="s">
        <v>29</v>
      </c>
      <c r="D34" s="8">
        <v>0</v>
      </c>
      <c r="E34" s="8">
        <v>7</v>
      </c>
      <c r="F34" s="16">
        <f t="shared" si="1"/>
        <v>7</v>
      </c>
      <c r="G34" s="8">
        <v>2</v>
      </c>
      <c r="H34" s="8">
        <v>4</v>
      </c>
      <c r="I34" s="8">
        <f>VLOOKUP(B34,'Quiz Marks'!A:B,2,FALSE)</f>
        <v>7</v>
      </c>
      <c r="J34" s="8">
        <f>VLOOKUP(B34,Project!B:E,4,FALSE)</f>
        <v>12</v>
      </c>
      <c r="K34" s="15">
        <f t="shared" si="0"/>
        <v>32</v>
      </c>
    </row>
    <row r="35" spans="1:11" x14ac:dyDescent="0.25">
      <c r="A35" s="9">
        <v>31</v>
      </c>
      <c r="B35" s="1">
        <v>22020845034</v>
      </c>
      <c r="C35" s="1" t="s">
        <v>30</v>
      </c>
      <c r="D35" s="8">
        <v>1</v>
      </c>
      <c r="E35" s="8">
        <v>7</v>
      </c>
      <c r="F35" s="16">
        <f t="shared" si="1"/>
        <v>8</v>
      </c>
      <c r="G35" s="8">
        <v>3</v>
      </c>
      <c r="H35" s="8">
        <v>4</v>
      </c>
      <c r="I35" s="8">
        <f>VLOOKUP(B35,'Quiz Marks'!A:B,2,FALSE)</f>
        <v>8</v>
      </c>
      <c r="J35" s="8">
        <f>VLOOKUP(B35,Project!B:E,4,FALSE)</f>
        <v>11.5</v>
      </c>
      <c r="K35" s="15">
        <f t="shared" si="0"/>
        <v>34.5</v>
      </c>
    </row>
    <row r="36" spans="1:11" x14ac:dyDescent="0.25">
      <c r="A36" s="9">
        <v>32</v>
      </c>
      <c r="B36" s="1">
        <v>22020845036</v>
      </c>
      <c r="C36" s="1" t="s">
        <v>31</v>
      </c>
      <c r="D36" s="8">
        <v>1</v>
      </c>
      <c r="E36" s="8">
        <v>7</v>
      </c>
      <c r="F36" s="16">
        <f t="shared" si="1"/>
        <v>8</v>
      </c>
      <c r="G36" s="8">
        <v>2</v>
      </c>
      <c r="H36" s="13">
        <v>4</v>
      </c>
      <c r="I36" s="8">
        <f>VLOOKUP(B36,'Quiz Marks'!A:B,2,FALSE)</f>
        <v>8</v>
      </c>
      <c r="J36" s="8">
        <f>VLOOKUP(B36,Project!B:E,4,FALSE)</f>
        <v>10</v>
      </c>
      <c r="K36" s="15">
        <f t="shared" si="0"/>
        <v>32</v>
      </c>
    </row>
    <row r="37" spans="1:11" x14ac:dyDescent="0.25">
      <c r="A37" s="9">
        <v>33</v>
      </c>
      <c r="B37" s="4">
        <v>22020845037</v>
      </c>
      <c r="C37" s="4" t="s">
        <v>32</v>
      </c>
      <c r="D37" s="8">
        <v>1</v>
      </c>
      <c r="E37" s="8">
        <v>8</v>
      </c>
      <c r="F37" s="16">
        <f t="shared" si="1"/>
        <v>9</v>
      </c>
      <c r="G37" s="8">
        <v>2</v>
      </c>
      <c r="H37" s="8">
        <v>5</v>
      </c>
      <c r="I37" s="8">
        <f>VLOOKUP(B37,'Quiz Marks'!A:B,2,FALSE)</f>
        <v>9</v>
      </c>
      <c r="J37" s="8">
        <f>VLOOKUP(B37,Project!B:E,4,FALSE)</f>
        <v>9</v>
      </c>
      <c r="K37" s="15">
        <f t="shared" si="0"/>
        <v>34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2E27E-A8F2-4118-8592-104BA631BF59}">
  <dimension ref="A1:B34"/>
  <sheetViews>
    <sheetView topLeftCell="A25" workbookViewId="0">
      <selection activeCell="A34" sqref="A34"/>
    </sheetView>
  </sheetViews>
  <sheetFormatPr defaultRowHeight="15" x14ac:dyDescent="0.25"/>
  <cols>
    <col min="1" max="1" width="21" customWidth="1"/>
  </cols>
  <sheetData>
    <row r="1" spans="1:2" x14ac:dyDescent="0.25">
      <c r="A1" t="s">
        <v>59</v>
      </c>
      <c r="B1" t="s">
        <v>50</v>
      </c>
    </row>
    <row r="2" spans="1:2" x14ac:dyDescent="0.25">
      <c r="A2">
        <v>22020845029</v>
      </c>
      <c r="B2">
        <v>15</v>
      </c>
    </row>
    <row r="3" spans="1:2" x14ac:dyDescent="0.25">
      <c r="A3">
        <v>22020845014</v>
      </c>
      <c r="B3">
        <v>11</v>
      </c>
    </row>
    <row r="4" spans="1:2" x14ac:dyDescent="0.25">
      <c r="A4">
        <v>22020845017</v>
      </c>
      <c r="B4">
        <v>13</v>
      </c>
    </row>
    <row r="5" spans="1:2" x14ac:dyDescent="0.25">
      <c r="A5">
        <v>22020845001</v>
      </c>
      <c r="B5">
        <v>12</v>
      </c>
    </row>
    <row r="6" spans="1:2" x14ac:dyDescent="0.25">
      <c r="A6">
        <v>22020845030</v>
      </c>
      <c r="B6">
        <v>8</v>
      </c>
    </row>
    <row r="7" spans="1:2" x14ac:dyDescent="0.25">
      <c r="A7">
        <v>22020845012</v>
      </c>
      <c r="B7">
        <v>8</v>
      </c>
    </row>
    <row r="8" spans="1:2" x14ac:dyDescent="0.25">
      <c r="A8">
        <v>22020845011</v>
      </c>
      <c r="B8">
        <v>13</v>
      </c>
    </row>
    <row r="9" spans="1:2" x14ac:dyDescent="0.25">
      <c r="A9">
        <v>22020845005</v>
      </c>
      <c r="B9">
        <v>6</v>
      </c>
    </row>
    <row r="10" spans="1:2" x14ac:dyDescent="0.25">
      <c r="A10">
        <v>22020845010</v>
      </c>
      <c r="B10">
        <v>7</v>
      </c>
    </row>
    <row r="11" spans="1:2" x14ac:dyDescent="0.25">
      <c r="A11">
        <v>22020845002</v>
      </c>
      <c r="B11">
        <v>10</v>
      </c>
    </row>
    <row r="12" spans="1:2" x14ac:dyDescent="0.25">
      <c r="A12">
        <v>22020845009</v>
      </c>
      <c r="B12">
        <v>10</v>
      </c>
    </row>
    <row r="13" spans="1:2" x14ac:dyDescent="0.25">
      <c r="A13">
        <v>22020845018</v>
      </c>
      <c r="B13">
        <v>8</v>
      </c>
    </row>
    <row r="14" spans="1:2" x14ac:dyDescent="0.25">
      <c r="A14">
        <v>22020845008</v>
      </c>
      <c r="B14">
        <v>4</v>
      </c>
    </row>
    <row r="15" spans="1:2" x14ac:dyDescent="0.25">
      <c r="A15">
        <v>22020845033</v>
      </c>
      <c r="B15">
        <v>7</v>
      </c>
    </row>
    <row r="16" spans="1:2" x14ac:dyDescent="0.25">
      <c r="A16">
        <v>22020845013</v>
      </c>
      <c r="B16">
        <v>11</v>
      </c>
    </row>
    <row r="17" spans="1:2" x14ac:dyDescent="0.25">
      <c r="A17">
        <v>22020845023</v>
      </c>
      <c r="B17">
        <v>9</v>
      </c>
    </row>
    <row r="18" spans="1:2" x14ac:dyDescent="0.25">
      <c r="A18">
        <v>22020845037</v>
      </c>
      <c r="B18">
        <v>9</v>
      </c>
    </row>
    <row r="19" spans="1:2" x14ac:dyDescent="0.25">
      <c r="A19">
        <v>22020845007</v>
      </c>
      <c r="B19">
        <v>10</v>
      </c>
    </row>
    <row r="20" spans="1:2" x14ac:dyDescent="0.25">
      <c r="A20">
        <v>22020845016</v>
      </c>
      <c r="B20">
        <v>8</v>
      </c>
    </row>
    <row r="21" spans="1:2" x14ac:dyDescent="0.25">
      <c r="A21">
        <v>22020845031</v>
      </c>
      <c r="B21">
        <v>12</v>
      </c>
    </row>
    <row r="22" spans="1:2" x14ac:dyDescent="0.25">
      <c r="A22">
        <v>22020845036</v>
      </c>
      <c r="B22">
        <v>8</v>
      </c>
    </row>
    <row r="23" spans="1:2" x14ac:dyDescent="0.25">
      <c r="A23">
        <v>22020845020</v>
      </c>
      <c r="B23">
        <v>5</v>
      </c>
    </row>
    <row r="24" spans="1:2" x14ac:dyDescent="0.25">
      <c r="A24">
        <v>22020845004</v>
      </c>
      <c r="B24">
        <v>8</v>
      </c>
    </row>
    <row r="25" spans="1:2" x14ac:dyDescent="0.25">
      <c r="A25">
        <v>22020845003</v>
      </c>
      <c r="B25">
        <v>12</v>
      </c>
    </row>
    <row r="26" spans="1:2" x14ac:dyDescent="0.25">
      <c r="A26">
        <v>22020845015</v>
      </c>
      <c r="B26">
        <v>7</v>
      </c>
    </row>
    <row r="27" spans="1:2" x14ac:dyDescent="0.25">
      <c r="A27">
        <v>22020845027</v>
      </c>
      <c r="B27">
        <v>6</v>
      </c>
    </row>
    <row r="28" spans="1:2" x14ac:dyDescent="0.25">
      <c r="A28">
        <v>22020845034</v>
      </c>
      <c r="B28">
        <v>8</v>
      </c>
    </row>
    <row r="29" spans="1:2" x14ac:dyDescent="0.25">
      <c r="A29">
        <v>22020845019</v>
      </c>
      <c r="B29">
        <v>6</v>
      </c>
    </row>
    <row r="30" spans="1:2" x14ac:dyDescent="0.25">
      <c r="A30">
        <v>22020845026</v>
      </c>
      <c r="B30">
        <v>9</v>
      </c>
    </row>
    <row r="31" spans="1:2" x14ac:dyDescent="0.25">
      <c r="A31">
        <v>22020845028</v>
      </c>
      <c r="B31">
        <v>8</v>
      </c>
    </row>
    <row r="32" spans="1:2" x14ac:dyDescent="0.25">
      <c r="A32">
        <v>22020845006</v>
      </c>
      <c r="B32">
        <v>9</v>
      </c>
    </row>
    <row r="33" spans="1:2" x14ac:dyDescent="0.25">
      <c r="A33">
        <v>22020845022</v>
      </c>
      <c r="B33">
        <v>8</v>
      </c>
    </row>
    <row r="34" spans="1:2" x14ac:dyDescent="0.25">
      <c r="A34" s="1">
        <v>22020845024</v>
      </c>
      <c r="B34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2928-190D-4263-9E8F-1D74FF5684ED}">
  <dimension ref="A1:K37"/>
  <sheetViews>
    <sheetView workbookViewId="0">
      <selection sqref="A1:K1048576"/>
    </sheetView>
  </sheetViews>
  <sheetFormatPr defaultRowHeight="15" x14ac:dyDescent="0.25"/>
  <cols>
    <col min="2" max="2" width="17.5703125" customWidth="1"/>
    <col min="3" max="3" width="26.5703125" customWidth="1"/>
    <col min="4" max="4" width="14" customWidth="1"/>
    <col min="5" max="5" width="16.28515625" customWidth="1"/>
    <col min="6" max="6" width="13.42578125" customWidth="1"/>
    <col min="8" max="8" width="11.7109375" customWidth="1"/>
  </cols>
  <sheetData>
    <row r="1" spans="1:11" ht="15.75" x14ac:dyDescent="0.25">
      <c r="A1" s="5" t="s">
        <v>33</v>
      </c>
      <c r="B1" s="6" t="s">
        <v>34</v>
      </c>
      <c r="C1" s="7" t="s">
        <v>35</v>
      </c>
      <c r="D1" s="10" t="s">
        <v>36</v>
      </c>
      <c r="E1" s="10" t="s">
        <v>38</v>
      </c>
      <c r="F1" s="10" t="s">
        <v>47</v>
      </c>
      <c r="G1" s="10" t="s">
        <v>46</v>
      </c>
      <c r="H1" s="12" t="s">
        <v>45</v>
      </c>
      <c r="I1" s="12" t="s">
        <v>43</v>
      </c>
      <c r="J1" s="12" t="s">
        <v>44</v>
      </c>
      <c r="K1" s="12" t="s">
        <v>39</v>
      </c>
    </row>
    <row r="2" spans="1:11" ht="15.75" x14ac:dyDescent="0.25">
      <c r="A2" s="5"/>
      <c r="B2" s="6"/>
      <c r="C2" s="7"/>
      <c r="D2" s="11">
        <v>44778</v>
      </c>
      <c r="E2" s="10"/>
      <c r="F2" s="14">
        <v>44789</v>
      </c>
      <c r="G2" s="14">
        <v>44811</v>
      </c>
      <c r="H2" s="14">
        <v>44814</v>
      </c>
      <c r="I2" s="14">
        <v>44825</v>
      </c>
      <c r="J2" s="12"/>
      <c r="K2" s="12"/>
    </row>
    <row r="3" spans="1:11" ht="15.75" x14ac:dyDescent="0.25">
      <c r="A3" s="5"/>
      <c r="B3" s="6"/>
      <c r="C3" s="7"/>
      <c r="D3" s="11">
        <v>44805</v>
      </c>
      <c r="E3" s="10"/>
      <c r="F3" s="14">
        <v>44805</v>
      </c>
      <c r="G3" s="14">
        <v>44824</v>
      </c>
      <c r="H3" s="14">
        <v>44824</v>
      </c>
      <c r="I3" s="14"/>
      <c r="J3" s="12"/>
      <c r="K3" s="12"/>
    </row>
    <row r="4" spans="1:11" ht="15.75" x14ac:dyDescent="0.25">
      <c r="A4" s="5"/>
      <c r="B4" s="6"/>
      <c r="C4" s="7"/>
      <c r="D4" s="10">
        <v>10</v>
      </c>
      <c r="E4" s="10"/>
      <c r="F4" s="10">
        <v>10</v>
      </c>
      <c r="G4" s="10">
        <v>5</v>
      </c>
      <c r="H4" s="8">
        <v>5</v>
      </c>
      <c r="I4" s="8">
        <v>15</v>
      </c>
      <c r="J4" s="12">
        <v>15</v>
      </c>
      <c r="K4" s="8">
        <f>SUM(D4:J4)</f>
        <v>60</v>
      </c>
    </row>
    <row r="5" spans="1:11" x14ac:dyDescent="0.25">
      <c r="A5" s="9">
        <v>1</v>
      </c>
      <c r="B5" s="1">
        <v>22020845001</v>
      </c>
      <c r="C5" s="1" t="s">
        <v>0</v>
      </c>
      <c r="D5" s="8">
        <v>4</v>
      </c>
      <c r="E5" s="8"/>
      <c r="F5" s="8">
        <v>8</v>
      </c>
      <c r="G5" s="8">
        <v>3</v>
      </c>
      <c r="H5" s="8">
        <v>4</v>
      </c>
      <c r="I5" s="8"/>
      <c r="J5" s="8"/>
      <c r="K5" s="8">
        <f t="shared" ref="K5:K37" si="0">SUM(D5,F5,G5,H5,I5,J5)</f>
        <v>19</v>
      </c>
    </row>
    <row r="6" spans="1:11" x14ac:dyDescent="0.25">
      <c r="A6" s="9">
        <v>2</v>
      </c>
      <c r="B6" s="1">
        <v>22020845002</v>
      </c>
      <c r="C6" s="1" t="s">
        <v>1</v>
      </c>
      <c r="D6" s="8">
        <v>7.5</v>
      </c>
      <c r="E6" s="8" t="s">
        <v>40</v>
      </c>
      <c r="F6" s="8">
        <v>8</v>
      </c>
      <c r="G6" s="8">
        <v>0</v>
      </c>
      <c r="H6" s="8">
        <v>5</v>
      </c>
      <c r="I6" s="8"/>
      <c r="J6" s="8"/>
      <c r="K6" s="8">
        <f t="shared" si="0"/>
        <v>20.5</v>
      </c>
    </row>
    <row r="7" spans="1:11" x14ac:dyDescent="0.25">
      <c r="A7" s="9">
        <v>3</v>
      </c>
      <c r="B7" s="1">
        <v>22020845003</v>
      </c>
      <c r="C7" s="1" t="s">
        <v>2</v>
      </c>
      <c r="D7" s="8">
        <v>3</v>
      </c>
      <c r="E7" s="8"/>
      <c r="F7" s="8">
        <v>9</v>
      </c>
      <c r="G7" s="8">
        <v>2</v>
      </c>
      <c r="H7" s="8">
        <v>4</v>
      </c>
      <c r="I7" s="8"/>
      <c r="J7" s="8"/>
      <c r="K7" s="8">
        <f t="shared" si="0"/>
        <v>18</v>
      </c>
    </row>
    <row r="8" spans="1:11" x14ac:dyDescent="0.25">
      <c r="A8" s="9">
        <v>4</v>
      </c>
      <c r="B8" s="1">
        <v>22020845004</v>
      </c>
      <c r="C8" s="1" t="s">
        <v>3</v>
      </c>
      <c r="D8" s="8">
        <v>3</v>
      </c>
      <c r="E8" s="8"/>
      <c r="F8" s="8">
        <v>8</v>
      </c>
      <c r="G8" s="8">
        <v>2</v>
      </c>
      <c r="H8" s="8">
        <v>4</v>
      </c>
      <c r="I8" s="8"/>
      <c r="J8" s="8"/>
      <c r="K8" s="8">
        <f t="shared" si="0"/>
        <v>17</v>
      </c>
    </row>
    <row r="9" spans="1:11" x14ac:dyDescent="0.25">
      <c r="A9" s="9">
        <v>5</v>
      </c>
      <c r="B9" s="1">
        <v>22020845005</v>
      </c>
      <c r="C9" s="1" t="s">
        <v>4</v>
      </c>
      <c r="D9" s="8">
        <v>4</v>
      </c>
      <c r="E9" s="8"/>
      <c r="F9" s="8">
        <v>7.5</v>
      </c>
      <c r="G9" s="13">
        <v>3</v>
      </c>
      <c r="H9" s="8">
        <v>4</v>
      </c>
      <c r="I9" s="8"/>
      <c r="J9" s="8"/>
      <c r="K9" s="8">
        <f t="shared" si="0"/>
        <v>18.5</v>
      </c>
    </row>
    <row r="10" spans="1:11" x14ac:dyDescent="0.25">
      <c r="A10" s="9">
        <v>6</v>
      </c>
      <c r="B10" s="1">
        <v>22020845006</v>
      </c>
      <c r="C10" s="1" t="s">
        <v>5</v>
      </c>
      <c r="D10" s="8">
        <v>0</v>
      </c>
      <c r="E10" s="8" t="s">
        <v>37</v>
      </c>
      <c r="F10" s="8">
        <v>8</v>
      </c>
      <c r="G10" s="8">
        <v>3</v>
      </c>
      <c r="H10" s="8">
        <v>4</v>
      </c>
      <c r="I10" s="8"/>
      <c r="J10" s="8"/>
      <c r="K10" s="8">
        <f t="shared" si="0"/>
        <v>15</v>
      </c>
    </row>
    <row r="11" spans="1:11" x14ac:dyDescent="0.25">
      <c r="A11" s="9">
        <v>7</v>
      </c>
      <c r="B11" s="1">
        <v>22020845007</v>
      </c>
      <c r="C11" s="1" t="s">
        <v>6</v>
      </c>
      <c r="D11" s="8">
        <v>3</v>
      </c>
      <c r="E11" s="8"/>
      <c r="F11" s="8">
        <v>8.5</v>
      </c>
      <c r="G11" s="13">
        <v>3</v>
      </c>
      <c r="H11" s="8">
        <v>4</v>
      </c>
      <c r="I11" s="8"/>
      <c r="J11" s="8"/>
      <c r="K11" s="8">
        <f t="shared" si="0"/>
        <v>18.5</v>
      </c>
    </row>
    <row r="12" spans="1:11" x14ac:dyDescent="0.25">
      <c r="A12" s="9">
        <v>8</v>
      </c>
      <c r="B12" s="1">
        <v>22020845008</v>
      </c>
      <c r="C12" s="1" t="s">
        <v>7</v>
      </c>
      <c r="D12" s="8">
        <v>3</v>
      </c>
      <c r="E12" s="8"/>
      <c r="F12" s="8">
        <v>9.5</v>
      </c>
      <c r="G12" s="8">
        <v>3</v>
      </c>
      <c r="H12" s="8">
        <v>4</v>
      </c>
      <c r="I12" s="8"/>
      <c r="J12" s="8"/>
      <c r="K12" s="8">
        <f t="shared" si="0"/>
        <v>19.5</v>
      </c>
    </row>
    <row r="13" spans="1:11" x14ac:dyDescent="0.25">
      <c r="A13" s="9">
        <v>9</v>
      </c>
      <c r="B13" s="1">
        <v>22020845009</v>
      </c>
      <c r="C13" s="1" t="s">
        <v>8</v>
      </c>
      <c r="D13" s="8">
        <v>4</v>
      </c>
      <c r="E13" s="8"/>
      <c r="F13" s="8">
        <v>8</v>
      </c>
      <c r="G13" s="8">
        <v>3</v>
      </c>
      <c r="H13" s="8">
        <v>4</v>
      </c>
      <c r="I13" s="8"/>
      <c r="J13" s="8"/>
      <c r="K13" s="8">
        <f t="shared" si="0"/>
        <v>19</v>
      </c>
    </row>
    <row r="14" spans="1:11" x14ac:dyDescent="0.25">
      <c r="A14" s="9">
        <v>10</v>
      </c>
      <c r="B14" s="1">
        <v>22020845010</v>
      </c>
      <c r="C14" s="1" t="s">
        <v>9</v>
      </c>
      <c r="D14" s="8">
        <v>3</v>
      </c>
      <c r="E14" s="8"/>
      <c r="F14" s="8">
        <v>8.5</v>
      </c>
      <c r="G14" s="8">
        <v>2</v>
      </c>
      <c r="H14" s="8">
        <v>4</v>
      </c>
      <c r="I14" s="8"/>
      <c r="J14" s="8"/>
      <c r="K14" s="8">
        <f t="shared" si="0"/>
        <v>17.5</v>
      </c>
    </row>
    <row r="15" spans="1:11" x14ac:dyDescent="0.25">
      <c r="A15" s="9">
        <v>11</v>
      </c>
      <c r="B15" s="1">
        <v>22020845011</v>
      </c>
      <c r="C15" s="1" t="s">
        <v>10</v>
      </c>
      <c r="D15" s="8">
        <v>5</v>
      </c>
      <c r="E15" s="8"/>
      <c r="F15" s="8">
        <v>8.5</v>
      </c>
      <c r="G15" s="8">
        <v>3</v>
      </c>
      <c r="H15" s="8">
        <v>5</v>
      </c>
      <c r="I15" s="8"/>
      <c r="J15" s="8"/>
      <c r="K15" s="8">
        <f t="shared" si="0"/>
        <v>21.5</v>
      </c>
    </row>
    <row r="16" spans="1:11" x14ac:dyDescent="0.25">
      <c r="A16" s="9">
        <v>12</v>
      </c>
      <c r="B16" s="1">
        <v>22020845012</v>
      </c>
      <c r="C16" s="1" t="s">
        <v>11</v>
      </c>
      <c r="D16" s="8">
        <v>6</v>
      </c>
      <c r="E16" s="8"/>
      <c r="F16" s="8">
        <v>8</v>
      </c>
      <c r="G16" s="8">
        <v>3</v>
      </c>
      <c r="H16" s="13">
        <v>4</v>
      </c>
      <c r="I16" s="8"/>
      <c r="J16" s="8"/>
      <c r="K16" s="8">
        <f t="shared" si="0"/>
        <v>21</v>
      </c>
    </row>
    <row r="17" spans="1:11" x14ac:dyDescent="0.25">
      <c r="A17" s="9">
        <v>13</v>
      </c>
      <c r="B17" s="1">
        <v>22020845013</v>
      </c>
      <c r="C17" s="1" t="s">
        <v>12</v>
      </c>
      <c r="D17" s="8">
        <v>8.5</v>
      </c>
      <c r="E17" s="8" t="s">
        <v>41</v>
      </c>
      <c r="F17" s="8">
        <v>8</v>
      </c>
      <c r="G17" s="8">
        <v>3</v>
      </c>
      <c r="H17" s="8">
        <v>4</v>
      </c>
      <c r="I17" s="8"/>
      <c r="J17" s="8"/>
      <c r="K17" s="8">
        <f t="shared" si="0"/>
        <v>23.5</v>
      </c>
    </row>
    <row r="18" spans="1:11" x14ac:dyDescent="0.25">
      <c r="A18" s="9">
        <v>14</v>
      </c>
      <c r="B18" s="1">
        <v>22020845014</v>
      </c>
      <c r="C18" s="1" t="s">
        <v>13</v>
      </c>
      <c r="D18" s="8">
        <v>7</v>
      </c>
      <c r="E18" s="8"/>
      <c r="F18" s="8">
        <v>7</v>
      </c>
      <c r="G18" s="8">
        <v>3</v>
      </c>
      <c r="H18" s="8">
        <v>4</v>
      </c>
      <c r="I18" s="8"/>
      <c r="J18" s="8"/>
      <c r="K18" s="8">
        <f t="shared" si="0"/>
        <v>21</v>
      </c>
    </row>
    <row r="19" spans="1:11" x14ac:dyDescent="0.25">
      <c r="A19" s="9">
        <v>15</v>
      </c>
      <c r="B19" s="1">
        <v>22020845015</v>
      </c>
      <c r="C19" s="2" t="s">
        <v>14</v>
      </c>
      <c r="D19" s="8">
        <v>7</v>
      </c>
      <c r="E19" s="8"/>
      <c r="F19" s="8">
        <v>7</v>
      </c>
      <c r="G19" s="8">
        <v>3</v>
      </c>
      <c r="H19" s="8">
        <v>4</v>
      </c>
      <c r="I19" s="8"/>
      <c r="J19" s="8"/>
      <c r="K19" s="8">
        <f t="shared" si="0"/>
        <v>21</v>
      </c>
    </row>
    <row r="20" spans="1:11" x14ac:dyDescent="0.25">
      <c r="A20" s="9">
        <v>16</v>
      </c>
      <c r="B20" s="1">
        <v>22020845016</v>
      </c>
      <c r="C20" s="1" t="s">
        <v>15</v>
      </c>
      <c r="D20" s="8">
        <v>4</v>
      </c>
      <c r="E20" s="8"/>
      <c r="F20" s="8">
        <v>7</v>
      </c>
      <c r="G20" s="8">
        <v>3</v>
      </c>
      <c r="H20" s="8">
        <v>4</v>
      </c>
      <c r="I20" s="8"/>
      <c r="J20" s="8"/>
      <c r="K20" s="8">
        <f t="shared" si="0"/>
        <v>18</v>
      </c>
    </row>
    <row r="21" spans="1:11" x14ac:dyDescent="0.25">
      <c r="A21" s="9">
        <v>17</v>
      </c>
      <c r="B21" s="1">
        <v>22020845017</v>
      </c>
      <c r="C21" s="1" t="s">
        <v>16</v>
      </c>
      <c r="D21" s="8">
        <v>3</v>
      </c>
      <c r="E21" s="8"/>
      <c r="F21" s="8">
        <v>8.5</v>
      </c>
      <c r="G21" s="8">
        <v>3</v>
      </c>
      <c r="H21" s="8">
        <v>5</v>
      </c>
      <c r="I21" s="8"/>
      <c r="J21" s="8"/>
      <c r="K21" s="8">
        <f t="shared" si="0"/>
        <v>19.5</v>
      </c>
    </row>
    <row r="22" spans="1:11" x14ac:dyDescent="0.25">
      <c r="A22" s="9">
        <v>18</v>
      </c>
      <c r="B22" s="1">
        <v>22020845018</v>
      </c>
      <c r="C22" s="1" t="s">
        <v>17</v>
      </c>
      <c r="D22" s="8">
        <v>5</v>
      </c>
      <c r="E22" s="8"/>
      <c r="F22" s="8">
        <v>8.5</v>
      </c>
      <c r="G22" s="8">
        <v>3</v>
      </c>
      <c r="H22" s="8">
        <v>4</v>
      </c>
      <c r="I22" s="8"/>
      <c r="J22" s="8"/>
      <c r="K22" s="8">
        <f t="shared" si="0"/>
        <v>20.5</v>
      </c>
    </row>
    <row r="23" spans="1:11" x14ac:dyDescent="0.25">
      <c r="A23" s="9">
        <v>19</v>
      </c>
      <c r="B23" s="1">
        <v>22020845019</v>
      </c>
      <c r="C23" s="1" t="s">
        <v>18</v>
      </c>
      <c r="D23" s="8">
        <v>4</v>
      </c>
      <c r="E23" s="8"/>
      <c r="F23" s="8">
        <v>7</v>
      </c>
      <c r="G23" s="8">
        <v>2</v>
      </c>
      <c r="H23" s="8">
        <v>4</v>
      </c>
      <c r="I23" s="8"/>
      <c r="J23" s="8"/>
      <c r="K23" s="8">
        <f t="shared" si="0"/>
        <v>17</v>
      </c>
    </row>
    <row r="24" spans="1:11" x14ac:dyDescent="0.25">
      <c r="A24" s="9">
        <v>20</v>
      </c>
      <c r="B24" s="1">
        <v>22020845020</v>
      </c>
      <c r="C24" s="1" t="s">
        <v>19</v>
      </c>
      <c r="D24" s="8">
        <v>1</v>
      </c>
      <c r="E24" s="8"/>
      <c r="F24" s="8">
        <v>7</v>
      </c>
      <c r="G24" s="8">
        <v>3</v>
      </c>
      <c r="H24" s="8">
        <v>4</v>
      </c>
      <c r="I24" s="8"/>
      <c r="J24" s="8"/>
      <c r="K24" s="8">
        <f t="shared" si="0"/>
        <v>15</v>
      </c>
    </row>
    <row r="25" spans="1:11" x14ac:dyDescent="0.25">
      <c r="A25" s="9">
        <v>21</v>
      </c>
      <c r="B25" s="1">
        <v>22020845022</v>
      </c>
      <c r="C25" s="1" t="s">
        <v>20</v>
      </c>
      <c r="D25" s="8">
        <v>1</v>
      </c>
      <c r="E25" s="8"/>
      <c r="F25" s="8">
        <v>8</v>
      </c>
      <c r="G25" s="8">
        <v>2</v>
      </c>
      <c r="H25" s="8">
        <v>4</v>
      </c>
      <c r="I25" s="8"/>
      <c r="J25" s="8"/>
      <c r="K25" s="8">
        <f t="shared" si="0"/>
        <v>15</v>
      </c>
    </row>
    <row r="26" spans="1:11" x14ac:dyDescent="0.25">
      <c r="A26" s="9">
        <v>22</v>
      </c>
      <c r="B26" s="1">
        <v>22020845023</v>
      </c>
      <c r="C26" s="1" t="s">
        <v>21</v>
      </c>
      <c r="D26" s="8">
        <v>7</v>
      </c>
      <c r="E26" s="8"/>
      <c r="F26" s="8">
        <v>8</v>
      </c>
      <c r="G26" s="8">
        <v>2</v>
      </c>
      <c r="H26" s="8">
        <v>4</v>
      </c>
      <c r="I26" s="8"/>
      <c r="J26" s="8"/>
      <c r="K26" s="8">
        <f t="shared" si="0"/>
        <v>21</v>
      </c>
    </row>
    <row r="27" spans="1:11" x14ac:dyDescent="0.25">
      <c r="A27" s="9">
        <v>23</v>
      </c>
      <c r="B27" s="1">
        <v>22020845024</v>
      </c>
      <c r="C27" s="1" t="s">
        <v>22</v>
      </c>
      <c r="D27" s="8">
        <v>4</v>
      </c>
      <c r="E27" s="8"/>
      <c r="F27" s="8">
        <v>7</v>
      </c>
      <c r="G27" s="8">
        <v>3</v>
      </c>
      <c r="H27" s="8">
        <v>4</v>
      </c>
      <c r="I27" s="8"/>
      <c r="J27" s="8"/>
      <c r="K27" s="8">
        <f t="shared" si="0"/>
        <v>18</v>
      </c>
    </row>
    <row r="28" spans="1:11" x14ac:dyDescent="0.25">
      <c r="A28" s="9">
        <v>24</v>
      </c>
      <c r="B28" s="1">
        <v>22020845026</v>
      </c>
      <c r="C28" s="1" t="s">
        <v>23</v>
      </c>
      <c r="D28" s="8">
        <v>0</v>
      </c>
      <c r="E28" s="8" t="s">
        <v>37</v>
      </c>
      <c r="F28" s="8">
        <v>7</v>
      </c>
      <c r="G28" s="8">
        <v>3</v>
      </c>
      <c r="H28" s="8">
        <v>4</v>
      </c>
      <c r="I28" s="8"/>
      <c r="J28" s="8"/>
      <c r="K28" s="8">
        <f t="shared" si="0"/>
        <v>14</v>
      </c>
    </row>
    <row r="29" spans="1:11" x14ac:dyDescent="0.25">
      <c r="A29" s="9">
        <v>25</v>
      </c>
      <c r="B29" s="1">
        <v>22020845027</v>
      </c>
      <c r="C29" s="1" t="s">
        <v>24</v>
      </c>
      <c r="D29" s="8">
        <v>3</v>
      </c>
      <c r="E29" s="8" t="s">
        <v>42</v>
      </c>
      <c r="F29" s="8">
        <v>7</v>
      </c>
      <c r="G29" s="8">
        <v>3</v>
      </c>
      <c r="H29" s="8">
        <v>4</v>
      </c>
      <c r="I29" s="8"/>
      <c r="J29" s="8"/>
      <c r="K29" s="8">
        <f t="shared" si="0"/>
        <v>17</v>
      </c>
    </row>
    <row r="30" spans="1:11" x14ac:dyDescent="0.25">
      <c r="A30" s="9">
        <v>26</v>
      </c>
      <c r="B30" s="1">
        <v>22020845028</v>
      </c>
      <c r="C30" s="1" t="s">
        <v>25</v>
      </c>
      <c r="D30" s="8">
        <v>8</v>
      </c>
      <c r="E30" s="8"/>
      <c r="F30" s="8">
        <v>8</v>
      </c>
      <c r="G30" s="13">
        <v>3</v>
      </c>
      <c r="H30" s="8">
        <v>4</v>
      </c>
      <c r="I30" s="8"/>
      <c r="J30" s="8"/>
      <c r="K30" s="8">
        <f t="shared" si="0"/>
        <v>23</v>
      </c>
    </row>
    <row r="31" spans="1:11" x14ac:dyDescent="0.25">
      <c r="A31" s="9">
        <v>27</v>
      </c>
      <c r="B31" s="1">
        <v>22020845029</v>
      </c>
      <c r="C31" s="1" t="s">
        <v>26</v>
      </c>
      <c r="D31" s="8">
        <v>8.5</v>
      </c>
      <c r="E31" s="8" t="s">
        <v>41</v>
      </c>
      <c r="F31" s="8">
        <v>9.5</v>
      </c>
      <c r="G31" s="8">
        <v>3</v>
      </c>
      <c r="H31" s="8">
        <v>4</v>
      </c>
      <c r="I31" s="8"/>
      <c r="J31" s="8"/>
      <c r="K31" s="8">
        <f t="shared" si="0"/>
        <v>25</v>
      </c>
    </row>
    <row r="32" spans="1:11" x14ac:dyDescent="0.25">
      <c r="A32" s="9">
        <v>28</v>
      </c>
      <c r="B32" s="1">
        <v>22020845030</v>
      </c>
      <c r="C32" s="1" t="s">
        <v>27</v>
      </c>
      <c r="D32" s="8">
        <v>4</v>
      </c>
      <c r="E32" s="8"/>
      <c r="F32" s="8">
        <v>8</v>
      </c>
      <c r="G32" s="8">
        <v>2</v>
      </c>
      <c r="H32" s="8">
        <v>4</v>
      </c>
      <c r="I32" s="8"/>
      <c r="J32" s="8"/>
      <c r="K32" s="8">
        <f t="shared" si="0"/>
        <v>18</v>
      </c>
    </row>
    <row r="33" spans="1:11" x14ac:dyDescent="0.25">
      <c r="A33" s="9">
        <v>29</v>
      </c>
      <c r="B33" s="3">
        <v>22020845031</v>
      </c>
      <c r="C33" s="3" t="s">
        <v>28</v>
      </c>
      <c r="D33" s="8">
        <v>5</v>
      </c>
      <c r="E33" s="8"/>
      <c r="F33" s="8">
        <v>8</v>
      </c>
      <c r="G33" s="8">
        <v>3</v>
      </c>
      <c r="H33" s="8">
        <v>4</v>
      </c>
      <c r="I33" s="8"/>
      <c r="J33" s="8"/>
      <c r="K33" s="8">
        <f t="shared" si="0"/>
        <v>20</v>
      </c>
    </row>
    <row r="34" spans="1:11" x14ac:dyDescent="0.25">
      <c r="A34" s="9">
        <v>30</v>
      </c>
      <c r="B34" s="1">
        <v>22020845033</v>
      </c>
      <c r="C34" s="1" t="s">
        <v>29</v>
      </c>
      <c r="D34" s="8">
        <v>0</v>
      </c>
      <c r="E34" s="8" t="s">
        <v>37</v>
      </c>
      <c r="F34" s="8">
        <v>7</v>
      </c>
      <c r="G34" s="8">
        <v>2</v>
      </c>
      <c r="H34" s="8">
        <v>4</v>
      </c>
      <c r="I34" s="8"/>
      <c r="J34" s="8"/>
      <c r="K34" s="8">
        <f t="shared" si="0"/>
        <v>13</v>
      </c>
    </row>
    <row r="35" spans="1:11" x14ac:dyDescent="0.25">
      <c r="A35" s="9">
        <v>31</v>
      </c>
      <c r="B35" s="1">
        <v>22020845034</v>
      </c>
      <c r="C35" s="1" t="s">
        <v>30</v>
      </c>
      <c r="D35" s="8">
        <v>1</v>
      </c>
      <c r="E35" s="8"/>
      <c r="F35" s="8">
        <v>7</v>
      </c>
      <c r="G35" s="8">
        <v>3</v>
      </c>
      <c r="H35" s="8">
        <v>4</v>
      </c>
      <c r="I35" s="8"/>
      <c r="J35" s="8"/>
      <c r="K35" s="8">
        <f t="shared" si="0"/>
        <v>15</v>
      </c>
    </row>
    <row r="36" spans="1:11" x14ac:dyDescent="0.25">
      <c r="A36" s="9">
        <v>32</v>
      </c>
      <c r="B36" s="1">
        <v>22020845036</v>
      </c>
      <c r="C36" s="1" t="s">
        <v>31</v>
      </c>
      <c r="D36" s="8">
        <v>1</v>
      </c>
      <c r="E36" s="8"/>
      <c r="F36" s="8">
        <v>7</v>
      </c>
      <c r="G36" s="8">
        <v>2</v>
      </c>
      <c r="H36" s="13">
        <v>4</v>
      </c>
      <c r="I36" s="8"/>
      <c r="J36" s="8"/>
      <c r="K36" s="8">
        <f t="shared" si="0"/>
        <v>14</v>
      </c>
    </row>
    <row r="37" spans="1:11" x14ac:dyDescent="0.25">
      <c r="A37" s="9">
        <v>33</v>
      </c>
      <c r="B37" s="4">
        <v>22020845037</v>
      </c>
      <c r="C37" s="4" t="s">
        <v>32</v>
      </c>
      <c r="D37" s="8">
        <v>1</v>
      </c>
      <c r="E37" s="8"/>
      <c r="F37" s="8">
        <v>8</v>
      </c>
      <c r="G37" s="8">
        <v>2</v>
      </c>
      <c r="H37" s="8">
        <v>5</v>
      </c>
      <c r="I37" s="8"/>
      <c r="J37" s="8"/>
      <c r="K37" s="8">
        <f t="shared" si="0"/>
        <v>16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202E-1AFB-4926-8980-D4A933041A5D}">
  <dimension ref="A1:F35"/>
  <sheetViews>
    <sheetView topLeftCell="A25" workbookViewId="0">
      <selection activeCell="E35" sqref="E35"/>
    </sheetView>
  </sheetViews>
  <sheetFormatPr defaultRowHeight="15" x14ac:dyDescent="0.25"/>
  <cols>
    <col min="2" max="2" width="18.28515625" customWidth="1"/>
    <col min="3" max="3" width="27.140625" customWidth="1"/>
  </cols>
  <sheetData>
    <row r="1" spans="1:6" x14ac:dyDescent="0.25">
      <c r="A1" t="s">
        <v>58</v>
      </c>
      <c r="B1" t="s">
        <v>57</v>
      </c>
      <c r="C1" t="s">
        <v>35</v>
      </c>
      <c r="D1" t="s">
        <v>56</v>
      </c>
      <c r="E1" s="25" t="s">
        <v>50</v>
      </c>
    </row>
    <row r="2" spans="1:6" x14ac:dyDescent="0.25">
      <c r="A2" s="9">
        <v>1</v>
      </c>
      <c r="B2" s="1">
        <v>22020845009</v>
      </c>
      <c r="C2" s="1" t="s">
        <v>8</v>
      </c>
      <c r="D2">
        <v>1</v>
      </c>
      <c r="E2">
        <v>9</v>
      </c>
      <c r="F2" t="s">
        <v>49</v>
      </c>
    </row>
    <row r="3" spans="1:6" x14ac:dyDescent="0.25">
      <c r="A3" s="9">
        <v>2</v>
      </c>
      <c r="B3" s="1">
        <v>22020845011</v>
      </c>
      <c r="C3" s="1" t="s">
        <v>10</v>
      </c>
      <c r="D3">
        <v>1</v>
      </c>
      <c r="E3">
        <v>11</v>
      </c>
      <c r="F3" t="s">
        <v>49</v>
      </c>
    </row>
    <row r="4" spans="1:6" x14ac:dyDescent="0.25">
      <c r="A4" s="9">
        <v>3</v>
      </c>
      <c r="B4" s="1">
        <v>22020845015</v>
      </c>
      <c r="C4" s="2" t="s">
        <v>14</v>
      </c>
      <c r="D4">
        <v>1</v>
      </c>
      <c r="E4">
        <v>9</v>
      </c>
      <c r="F4" t="s">
        <v>49</v>
      </c>
    </row>
    <row r="5" spans="1:6" x14ac:dyDescent="0.25">
      <c r="A5" s="9">
        <v>4</v>
      </c>
      <c r="B5" s="1">
        <v>22020845022</v>
      </c>
      <c r="C5" s="1" t="s">
        <v>20</v>
      </c>
      <c r="D5">
        <v>6</v>
      </c>
      <c r="E5">
        <v>9</v>
      </c>
      <c r="F5" t="s">
        <v>49</v>
      </c>
    </row>
    <row r="6" spans="1:6" x14ac:dyDescent="0.25">
      <c r="A6" s="9">
        <v>5</v>
      </c>
      <c r="B6" s="4">
        <v>22020845037</v>
      </c>
      <c r="C6" s="4" t="s">
        <v>32</v>
      </c>
      <c r="D6">
        <v>1</v>
      </c>
      <c r="E6">
        <v>9</v>
      </c>
      <c r="F6" t="s">
        <v>49</v>
      </c>
    </row>
    <row r="7" spans="1:6" x14ac:dyDescent="0.25">
      <c r="A7" s="9">
        <v>6</v>
      </c>
      <c r="B7" s="1">
        <v>22020845006</v>
      </c>
      <c r="C7" s="1" t="s">
        <v>5</v>
      </c>
      <c r="D7">
        <v>2</v>
      </c>
      <c r="E7">
        <v>11</v>
      </c>
      <c r="F7" t="s">
        <v>51</v>
      </c>
    </row>
    <row r="8" spans="1:6" x14ac:dyDescent="0.25">
      <c r="A8" s="9">
        <v>7</v>
      </c>
      <c r="B8" s="1">
        <v>22020845017</v>
      </c>
      <c r="C8" s="1" t="s">
        <v>16</v>
      </c>
      <c r="D8">
        <v>2</v>
      </c>
      <c r="E8">
        <v>11</v>
      </c>
      <c r="F8" t="s">
        <v>51</v>
      </c>
    </row>
    <row r="9" spans="1:6" x14ac:dyDescent="0.25">
      <c r="A9" s="9">
        <v>8</v>
      </c>
      <c r="B9" s="1">
        <v>22020845019</v>
      </c>
      <c r="C9" s="1" t="s">
        <v>18</v>
      </c>
      <c r="D9">
        <v>2</v>
      </c>
      <c r="E9">
        <v>11</v>
      </c>
      <c r="F9" t="s">
        <v>51</v>
      </c>
    </row>
    <row r="10" spans="1:6" x14ac:dyDescent="0.25">
      <c r="A10" s="9">
        <v>9</v>
      </c>
      <c r="B10" s="1">
        <v>22020845028</v>
      </c>
      <c r="C10" s="1" t="s">
        <v>25</v>
      </c>
      <c r="D10">
        <v>2</v>
      </c>
      <c r="E10">
        <v>11</v>
      </c>
      <c r="F10" t="s">
        <v>51</v>
      </c>
    </row>
    <row r="11" spans="1:6" x14ac:dyDescent="0.25">
      <c r="A11" s="9">
        <v>10</v>
      </c>
      <c r="B11" s="1">
        <v>22020845030</v>
      </c>
      <c r="C11" s="1" t="s">
        <v>27</v>
      </c>
      <c r="D11">
        <v>2</v>
      </c>
      <c r="E11">
        <v>11</v>
      </c>
      <c r="F11" t="s">
        <v>51</v>
      </c>
    </row>
    <row r="12" spans="1:6" x14ac:dyDescent="0.25">
      <c r="A12" s="9">
        <v>11</v>
      </c>
      <c r="B12" s="1">
        <v>22020845007</v>
      </c>
      <c r="C12" s="1" t="s">
        <v>6</v>
      </c>
      <c r="D12">
        <v>3</v>
      </c>
      <c r="E12">
        <v>12</v>
      </c>
      <c r="F12" t="s">
        <v>53</v>
      </c>
    </row>
    <row r="13" spans="1:6" x14ac:dyDescent="0.25">
      <c r="A13" s="9">
        <v>12</v>
      </c>
      <c r="B13" s="1">
        <v>22020845013</v>
      </c>
      <c r="C13" s="1" t="s">
        <v>12</v>
      </c>
      <c r="D13">
        <v>3</v>
      </c>
      <c r="E13">
        <v>12</v>
      </c>
      <c r="F13" t="s">
        <v>53</v>
      </c>
    </row>
    <row r="14" spans="1:6" x14ac:dyDescent="0.25">
      <c r="A14" s="9">
        <v>13</v>
      </c>
      <c r="B14" s="1">
        <v>22020845020</v>
      </c>
      <c r="C14" s="1" t="s">
        <v>19</v>
      </c>
      <c r="D14">
        <v>3</v>
      </c>
      <c r="E14">
        <v>12</v>
      </c>
      <c r="F14" t="s">
        <v>53</v>
      </c>
    </row>
    <row r="15" spans="1:6" x14ac:dyDescent="0.25">
      <c r="A15" s="9">
        <v>14</v>
      </c>
      <c r="B15" s="1">
        <v>22020845027</v>
      </c>
      <c r="C15" s="1" t="s">
        <v>24</v>
      </c>
      <c r="D15">
        <v>3</v>
      </c>
      <c r="E15">
        <v>12</v>
      </c>
      <c r="F15" t="s">
        <v>53</v>
      </c>
    </row>
    <row r="16" spans="1:6" x14ac:dyDescent="0.25">
      <c r="A16" s="9">
        <v>15</v>
      </c>
      <c r="B16" s="1">
        <v>22020845029</v>
      </c>
      <c r="C16" s="1" t="s">
        <v>26</v>
      </c>
      <c r="D16">
        <v>3</v>
      </c>
      <c r="E16">
        <v>13</v>
      </c>
      <c r="F16" t="s">
        <v>53</v>
      </c>
    </row>
    <row r="17" spans="1:6" x14ac:dyDescent="0.25">
      <c r="A17" s="9">
        <v>16</v>
      </c>
      <c r="B17" s="1">
        <v>22020845033</v>
      </c>
      <c r="C17" s="1" t="s">
        <v>29</v>
      </c>
      <c r="D17">
        <v>3</v>
      </c>
      <c r="E17">
        <v>12</v>
      </c>
      <c r="F17" t="s">
        <v>53</v>
      </c>
    </row>
    <row r="18" spans="1:6" x14ac:dyDescent="0.25">
      <c r="A18" s="9">
        <v>17</v>
      </c>
      <c r="B18" s="1">
        <v>22020845008</v>
      </c>
      <c r="C18" s="1" t="s">
        <v>7</v>
      </c>
      <c r="D18">
        <v>4</v>
      </c>
      <c r="E18">
        <v>13</v>
      </c>
      <c r="F18" t="s">
        <v>54</v>
      </c>
    </row>
    <row r="19" spans="1:6" x14ac:dyDescent="0.25">
      <c r="A19" s="9">
        <v>18</v>
      </c>
      <c r="B19" s="1">
        <v>22020845010</v>
      </c>
      <c r="C19" s="1" t="s">
        <v>9</v>
      </c>
      <c r="D19">
        <v>4</v>
      </c>
      <c r="E19">
        <v>12.5</v>
      </c>
      <c r="F19" t="s">
        <v>54</v>
      </c>
    </row>
    <row r="20" spans="1:6" x14ac:dyDescent="0.25">
      <c r="A20" s="9">
        <v>19</v>
      </c>
      <c r="B20" s="1">
        <v>22020845012</v>
      </c>
      <c r="C20" s="1" t="s">
        <v>11</v>
      </c>
      <c r="D20">
        <v>4</v>
      </c>
      <c r="E20">
        <v>12.5</v>
      </c>
      <c r="F20" t="s">
        <v>54</v>
      </c>
    </row>
    <row r="21" spans="1:6" x14ac:dyDescent="0.25">
      <c r="A21" s="9">
        <v>20</v>
      </c>
      <c r="B21" s="1">
        <v>22020845016</v>
      </c>
      <c r="C21" s="1" t="s">
        <v>15</v>
      </c>
      <c r="D21">
        <v>4</v>
      </c>
      <c r="E21">
        <v>12.5</v>
      </c>
      <c r="F21" t="s">
        <v>54</v>
      </c>
    </row>
    <row r="22" spans="1:6" x14ac:dyDescent="0.25">
      <c r="A22" s="9">
        <v>21</v>
      </c>
      <c r="B22" s="1">
        <v>22020845026</v>
      </c>
      <c r="C22" s="1" t="s">
        <v>23</v>
      </c>
      <c r="D22">
        <v>4</v>
      </c>
      <c r="E22">
        <v>11.5</v>
      </c>
      <c r="F22" t="s">
        <v>54</v>
      </c>
    </row>
    <row r="23" spans="1:6" x14ac:dyDescent="0.25">
      <c r="A23" s="9">
        <v>22</v>
      </c>
      <c r="B23" s="1">
        <v>22020845034</v>
      </c>
      <c r="C23" s="1" t="s">
        <v>30</v>
      </c>
      <c r="D23">
        <v>4</v>
      </c>
      <c r="E23">
        <v>11.5</v>
      </c>
      <c r="F23" t="s">
        <v>54</v>
      </c>
    </row>
    <row r="24" spans="1:6" x14ac:dyDescent="0.25">
      <c r="A24" s="9">
        <v>23</v>
      </c>
      <c r="B24" s="1">
        <v>22020845001</v>
      </c>
      <c r="C24" s="1" t="s">
        <v>0</v>
      </c>
      <c r="D24">
        <v>5</v>
      </c>
      <c r="E24">
        <v>10</v>
      </c>
      <c r="F24" t="s">
        <v>52</v>
      </c>
    </row>
    <row r="25" spans="1:6" x14ac:dyDescent="0.25">
      <c r="A25" s="9">
        <v>24</v>
      </c>
      <c r="B25" s="1">
        <v>22020845002</v>
      </c>
      <c r="C25" s="1" t="s">
        <v>1</v>
      </c>
      <c r="D25">
        <v>5</v>
      </c>
      <c r="E25">
        <v>10</v>
      </c>
      <c r="F25" t="s">
        <v>52</v>
      </c>
    </row>
    <row r="26" spans="1:6" x14ac:dyDescent="0.25">
      <c r="A26" s="9">
        <v>25</v>
      </c>
      <c r="B26" s="1">
        <v>22020845004</v>
      </c>
      <c r="C26" s="1" t="s">
        <v>3</v>
      </c>
      <c r="D26">
        <v>5</v>
      </c>
      <c r="E26">
        <v>10</v>
      </c>
      <c r="F26" t="s">
        <v>52</v>
      </c>
    </row>
    <row r="27" spans="1:6" x14ac:dyDescent="0.25">
      <c r="A27" s="9">
        <v>26</v>
      </c>
      <c r="B27" s="1">
        <v>22020845023</v>
      </c>
      <c r="C27" s="1" t="s">
        <v>21</v>
      </c>
      <c r="D27">
        <v>5</v>
      </c>
      <c r="E27">
        <v>10</v>
      </c>
      <c r="F27" t="s">
        <v>52</v>
      </c>
    </row>
    <row r="28" spans="1:6" x14ac:dyDescent="0.25">
      <c r="A28" s="9">
        <v>27</v>
      </c>
      <c r="B28" s="1">
        <v>22020845024</v>
      </c>
      <c r="C28" s="1" t="s">
        <v>22</v>
      </c>
      <c r="D28">
        <v>5</v>
      </c>
      <c r="E28">
        <v>10</v>
      </c>
      <c r="F28" t="s">
        <v>52</v>
      </c>
    </row>
    <row r="29" spans="1:6" x14ac:dyDescent="0.25">
      <c r="A29" s="9">
        <v>28</v>
      </c>
      <c r="B29" s="1">
        <v>22020845036</v>
      </c>
      <c r="C29" s="1" t="s">
        <v>31</v>
      </c>
      <c r="D29">
        <v>5</v>
      </c>
      <c r="E29">
        <v>10</v>
      </c>
      <c r="F29" t="s">
        <v>52</v>
      </c>
    </row>
    <row r="30" spans="1:6" x14ac:dyDescent="0.25">
      <c r="A30" s="9">
        <v>29</v>
      </c>
      <c r="B30" s="1">
        <v>22020845003</v>
      </c>
      <c r="C30" s="1" t="s">
        <v>2</v>
      </c>
      <c r="D30">
        <v>6</v>
      </c>
      <c r="E30">
        <v>9</v>
      </c>
      <c r="F30" t="s">
        <v>55</v>
      </c>
    </row>
    <row r="31" spans="1:6" x14ac:dyDescent="0.25">
      <c r="A31" s="9">
        <v>30</v>
      </c>
      <c r="B31" s="1">
        <v>22020845005</v>
      </c>
      <c r="C31" s="1" t="s">
        <v>4</v>
      </c>
      <c r="D31">
        <v>6</v>
      </c>
      <c r="E31">
        <v>9</v>
      </c>
      <c r="F31" t="s">
        <v>55</v>
      </c>
    </row>
    <row r="32" spans="1:6" x14ac:dyDescent="0.25">
      <c r="A32" s="9">
        <v>31</v>
      </c>
      <c r="B32" s="1">
        <v>22020845014</v>
      </c>
      <c r="C32" s="1" t="s">
        <v>13</v>
      </c>
      <c r="D32">
        <v>6</v>
      </c>
      <c r="E32">
        <v>11</v>
      </c>
      <c r="F32" t="s">
        <v>55</v>
      </c>
    </row>
    <row r="33" spans="1:6" x14ac:dyDescent="0.25">
      <c r="A33" s="9">
        <v>32</v>
      </c>
      <c r="B33" s="1">
        <v>22020845018</v>
      </c>
      <c r="C33" s="1" t="s">
        <v>17</v>
      </c>
      <c r="D33">
        <v>6</v>
      </c>
      <c r="E33">
        <v>10</v>
      </c>
      <c r="F33" t="s">
        <v>55</v>
      </c>
    </row>
    <row r="34" spans="1:6" x14ac:dyDescent="0.25">
      <c r="A34" s="9">
        <v>33</v>
      </c>
      <c r="B34" s="1">
        <v>22020845022</v>
      </c>
      <c r="C34" s="1" t="s">
        <v>20</v>
      </c>
      <c r="D34">
        <v>6</v>
      </c>
      <c r="E34">
        <v>9</v>
      </c>
      <c r="F34" t="s">
        <v>55</v>
      </c>
    </row>
    <row r="35" spans="1:6" x14ac:dyDescent="0.25">
      <c r="A35" s="9">
        <v>34</v>
      </c>
      <c r="B35" s="3">
        <v>22020845031</v>
      </c>
      <c r="C35" s="3" t="s">
        <v>28</v>
      </c>
      <c r="D35">
        <v>6</v>
      </c>
      <c r="E35">
        <v>10</v>
      </c>
      <c r="F35" t="s">
        <v>55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55536-BE31-425D-AFE0-004FD60C7E93}">
  <dimension ref="A1:T34"/>
  <sheetViews>
    <sheetView workbookViewId="0">
      <selection sqref="A1:AA1048543"/>
    </sheetView>
  </sheetViews>
  <sheetFormatPr defaultRowHeight="15" x14ac:dyDescent="0.25"/>
  <sheetData>
    <row r="1" spans="1:20" x14ac:dyDescent="0.25">
      <c r="A1" t="s">
        <v>63</v>
      </c>
      <c r="B1" t="s">
        <v>64</v>
      </c>
      <c r="C1" t="s">
        <v>59</v>
      </c>
      <c r="D1" t="s">
        <v>60</v>
      </c>
      <c r="E1" t="s">
        <v>50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</row>
    <row r="2" spans="1:20" x14ac:dyDescent="0.25">
      <c r="B2" t="s">
        <v>80</v>
      </c>
      <c r="C2">
        <v>22020845029</v>
      </c>
      <c r="D2" t="s">
        <v>61</v>
      </c>
      <c r="E2">
        <v>15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 x14ac:dyDescent="0.25">
      <c r="B3" t="s">
        <v>81</v>
      </c>
      <c r="C3">
        <v>22020845014</v>
      </c>
      <c r="D3" t="s">
        <v>61</v>
      </c>
      <c r="E3">
        <v>11</v>
      </c>
      <c r="F3">
        <v>0</v>
      </c>
      <c r="G3">
        <v>1</v>
      </c>
      <c r="H3">
        <v>1</v>
      </c>
      <c r="I3">
        <v>0</v>
      </c>
      <c r="J3">
        <v>1</v>
      </c>
      <c r="K3">
        <v>1</v>
      </c>
      <c r="L3">
        <v>1</v>
      </c>
      <c r="M3">
        <v>1</v>
      </c>
      <c r="N3">
        <v>0</v>
      </c>
      <c r="O3">
        <v>1</v>
      </c>
      <c r="P3">
        <v>1</v>
      </c>
      <c r="Q3">
        <v>0</v>
      </c>
      <c r="R3">
        <v>1</v>
      </c>
      <c r="S3">
        <v>1</v>
      </c>
      <c r="T3">
        <v>1</v>
      </c>
    </row>
    <row r="4" spans="1:20" x14ac:dyDescent="0.25">
      <c r="B4" t="s">
        <v>82</v>
      </c>
      <c r="C4">
        <v>22020845017</v>
      </c>
      <c r="D4" t="s">
        <v>61</v>
      </c>
      <c r="E4">
        <v>13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0" x14ac:dyDescent="0.25">
      <c r="B5" t="s">
        <v>83</v>
      </c>
      <c r="C5">
        <v>22020845001</v>
      </c>
      <c r="D5" t="s">
        <v>61</v>
      </c>
      <c r="E5">
        <v>12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0</v>
      </c>
      <c r="M5">
        <v>1</v>
      </c>
      <c r="N5">
        <v>0</v>
      </c>
      <c r="O5">
        <v>1</v>
      </c>
      <c r="P5">
        <v>0</v>
      </c>
      <c r="Q5">
        <v>1</v>
      </c>
      <c r="R5">
        <v>1</v>
      </c>
      <c r="S5">
        <v>1</v>
      </c>
      <c r="T5">
        <v>1</v>
      </c>
    </row>
    <row r="6" spans="1:20" x14ac:dyDescent="0.25">
      <c r="B6" t="s">
        <v>84</v>
      </c>
      <c r="C6">
        <v>22020845030</v>
      </c>
      <c r="D6" t="s">
        <v>61</v>
      </c>
      <c r="E6">
        <v>8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1</v>
      </c>
      <c r="M6">
        <v>1</v>
      </c>
      <c r="N6">
        <v>0</v>
      </c>
      <c r="O6">
        <v>0</v>
      </c>
      <c r="P6">
        <v>1</v>
      </c>
      <c r="Q6" s="26">
        <v>0</v>
      </c>
      <c r="R6">
        <v>1</v>
      </c>
      <c r="S6">
        <v>1</v>
      </c>
      <c r="T6">
        <v>1</v>
      </c>
    </row>
    <row r="7" spans="1:20" x14ac:dyDescent="0.25">
      <c r="B7" t="s">
        <v>85</v>
      </c>
      <c r="C7">
        <v>22020845012</v>
      </c>
      <c r="D7" t="s">
        <v>61</v>
      </c>
      <c r="E7">
        <v>8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0" x14ac:dyDescent="0.25">
      <c r="B8" t="s">
        <v>86</v>
      </c>
      <c r="C8">
        <v>22020845011</v>
      </c>
      <c r="D8" t="s">
        <v>61</v>
      </c>
      <c r="E8">
        <v>13</v>
      </c>
      <c r="F8">
        <v>1</v>
      </c>
      <c r="G8">
        <v>1</v>
      </c>
      <c r="H8">
        <v>1</v>
      </c>
      <c r="I8">
        <v>0</v>
      </c>
      <c r="J8">
        <v>1</v>
      </c>
      <c r="K8">
        <v>1</v>
      </c>
      <c r="L8">
        <v>1</v>
      </c>
      <c r="M8">
        <v>0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</row>
    <row r="9" spans="1:20" x14ac:dyDescent="0.25">
      <c r="B9" t="s">
        <v>87</v>
      </c>
      <c r="C9">
        <v>22020845005</v>
      </c>
      <c r="D9" t="s">
        <v>61</v>
      </c>
      <c r="E9">
        <v>6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</row>
    <row r="10" spans="1:20" x14ac:dyDescent="0.25">
      <c r="B10" t="s">
        <v>88</v>
      </c>
      <c r="C10">
        <v>22020845010</v>
      </c>
      <c r="D10" t="s">
        <v>61</v>
      </c>
      <c r="E10">
        <v>7</v>
      </c>
      <c r="F10">
        <v>1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</row>
    <row r="11" spans="1:20" x14ac:dyDescent="0.25">
      <c r="B11" t="s">
        <v>89</v>
      </c>
      <c r="C11">
        <v>22020845002</v>
      </c>
      <c r="D11" t="s">
        <v>61</v>
      </c>
      <c r="E11">
        <v>10</v>
      </c>
      <c r="G11">
        <v>0</v>
      </c>
      <c r="I11">
        <v>1</v>
      </c>
      <c r="J11">
        <v>1</v>
      </c>
      <c r="K11">
        <v>1</v>
      </c>
      <c r="L11">
        <v>0</v>
      </c>
      <c r="M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</row>
    <row r="12" spans="1:20" x14ac:dyDescent="0.25">
      <c r="B12" t="s">
        <v>90</v>
      </c>
      <c r="C12">
        <v>22020845009</v>
      </c>
      <c r="D12" t="s">
        <v>61</v>
      </c>
      <c r="E12">
        <v>10</v>
      </c>
      <c r="F12">
        <v>0</v>
      </c>
      <c r="G12">
        <v>0</v>
      </c>
      <c r="H12">
        <v>1</v>
      </c>
      <c r="I12">
        <v>1</v>
      </c>
      <c r="J12">
        <v>1</v>
      </c>
      <c r="K12">
        <v>1</v>
      </c>
      <c r="L12">
        <v>0</v>
      </c>
      <c r="M12">
        <v>1</v>
      </c>
      <c r="O12">
        <v>1</v>
      </c>
      <c r="P12">
        <v>1</v>
      </c>
      <c r="R12">
        <v>1</v>
      </c>
      <c r="S12">
        <v>1</v>
      </c>
      <c r="T12">
        <v>1</v>
      </c>
    </row>
    <row r="13" spans="1:20" x14ac:dyDescent="0.25">
      <c r="B13" t="s">
        <v>91</v>
      </c>
      <c r="C13">
        <v>22020845018</v>
      </c>
      <c r="D13" t="s">
        <v>61</v>
      </c>
      <c r="E13">
        <v>8</v>
      </c>
      <c r="F13">
        <v>0</v>
      </c>
      <c r="G13">
        <v>0</v>
      </c>
      <c r="I13">
        <v>0</v>
      </c>
      <c r="J13">
        <v>1</v>
      </c>
      <c r="K13">
        <v>1</v>
      </c>
      <c r="L13">
        <v>0</v>
      </c>
      <c r="M13">
        <v>1</v>
      </c>
      <c r="O13">
        <v>1</v>
      </c>
      <c r="P13">
        <v>1</v>
      </c>
      <c r="Q13">
        <v>1</v>
      </c>
      <c r="S13">
        <v>1</v>
      </c>
      <c r="T13">
        <v>1</v>
      </c>
    </row>
    <row r="14" spans="1:20" x14ac:dyDescent="0.25">
      <c r="B14" t="s">
        <v>92</v>
      </c>
      <c r="C14">
        <v>22020845008</v>
      </c>
      <c r="D14" t="s">
        <v>61</v>
      </c>
      <c r="E14">
        <v>4</v>
      </c>
      <c r="F14">
        <v>0</v>
      </c>
      <c r="G14">
        <v>0</v>
      </c>
      <c r="I14">
        <v>1</v>
      </c>
      <c r="J14">
        <v>1</v>
      </c>
      <c r="K14">
        <v>1</v>
      </c>
      <c r="M14">
        <v>0</v>
      </c>
      <c r="S14">
        <v>1</v>
      </c>
    </row>
    <row r="15" spans="1:20" x14ac:dyDescent="0.25">
      <c r="B15" t="s">
        <v>93</v>
      </c>
      <c r="C15">
        <v>22020845033</v>
      </c>
      <c r="D15" t="s">
        <v>61</v>
      </c>
      <c r="E15">
        <v>7</v>
      </c>
      <c r="F15">
        <v>0</v>
      </c>
      <c r="G15">
        <v>0</v>
      </c>
      <c r="I15">
        <v>1</v>
      </c>
      <c r="J15">
        <v>1</v>
      </c>
      <c r="K15">
        <v>1</v>
      </c>
      <c r="M15">
        <v>0</v>
      </c>
      <c r="O15">
        <v>1</v>
      </c>
      <c r="R15">
        <v>1</v>
      </c>
      <c r="S15">
        <v>1</v>
      </c>
      <c r="T15">
        <v>1</v>
      </c>
    </row>
    <row r="16" spans="1:20" x14ac:dyDescent="0.25">
      <c r="B16" t="s">
        <v>94</v>
      </c>
      <c r="C16">
        <v>22020845013</v>
      </c>
      <c r="D16" t="s">
        <v>61</v>
      </c>
      <c r="E16">
        <v>11</v>
      </c>
      <c r="F16">
        <v>0</v>
      </c>
      <c r="G16">
        <v>1</v>
      </c>
      <c r="I16">
        <v>1</v>
      </c>
      <c r="J16">
        <v>1</v>
      </c>
      <c r="K16">
        <v>1</v>
      </c>
      <c r="L16">
        <v>0</v>
      </c>
      <c r="M16">
        <v>1</v>
      </c>
      <c r="N16">
        <v>0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</row>
    <row r="17" spans="2:20" x14ac:dyDescent="0.25">
      <c r="B17" t="s">
        <v>95</v>
      </c>
      <c r="C17">
        <v>22020845023</v>
      </c>
      <c r="D17" t="s">
        <v>61</v>
      </c>
      <c r="E17">
        <v>9</v>
      </c>
      <c r="F17">
        <v>1</v>
      </c>
      <c r="G17">
        <v>0</v>
      </c>
      <c r="I17">
        <v>1</v>
      </c>
      <c r="J17">
        <v>1</v>
      </c>
      <c r="K17">
        <v>1</v>
      </c>
      <c r="L17">
        <v>0</v>
      </c>
      <c r="N17">
        <v>1</v>
      </c>
      <c r="P17">
        <v>1</v>
      </c>
      <c r="R17">
        <v>1</v>
      </c>
      <c r="S17">
        <v>1</v>
      </c>
      <c r="T17">
        <v>1</v>
      </c>
    </row>
    <row r="18" spans="2:20" x14ac:dyDescent="0.25">
      <c r="B18" t="s">
        <v>96</v>
      </c>
      <c r="C18">
        <v>22020845037</v>
      </c>
      <c r="D18" t="s">
        <v>61</v>
      </c>
      <c r="E18">
        <v>9</v>
      </c>
      <c r="F18">
        <v>1</v>
      </c>
      <c r="G18">
        <v>0</v>
      </c>
      <c r="I18">
        <v>1</v>
      </c>
      <c r="J18">
        <v>1</v>
      </c>
      <c r="K18">
        <v>1</v>
      </c>
      <c r="L18">
        <v>0</v>
      </c>
      <c r="O18">
        <v>1</v>
      </c>
      <c r="Q18">
        <v>1</v>
      </c>
      <c r="R18">
        <v>1</v>
      </c>
      <c r="S18">
        <v>1</v>
      </c>
      <c r="T18">
        <v>1</v>
      </c>
    </row>
    <row r="19" spans="2:20" x14ac:dyDescent="0.25">
      <c r="B19" t="s">
        <v>97</v>
      </c>
      <c r="C19">
        <v>22020845007</v>
      </c>
      <c r="D19" t="s">
        <v>61</v>
      </c>
      <c r="E19">
        <v>10</v>
      </c>
      <c r="F19">
        <v>1</v>
      </c>
      <c r="G19">
        <v>0</v>
      </c>
      <c r="I19">
        <v>1</v>
      </c>
      <c r="J19">
        <v>1</v>
      </c>
      <c r="K19">
        <v>1</v>
      </c>
      <c r="L19">
        <v>0</v>
      </c>
      <c r="M19">
        <v>1</v>
      </c>
      <c r="O19">
        <v>1</v>
      </c>
      <c r="P19">
        <v>1</v>
      </c>
      <c r="Q19">
        <v>1</v>
      </c>
      <c r="S19">
        <v>1</v>
      </c>
      <c r="T19">
        <v>1</v>
      </c>
    </row>
    <row r="20" spans="2:20" x14ac:dyDescent="0.25">
      <c r="B20" t="s">
        <v>98</v>
      </c>
      <c r="C20">
        <v>22020845016</v>
      </c>
      <c r="D20" t="s">
        <v>61</v>
      </c>
      <c r="E20">
        <v>8</v>
      </c>
      <c r="F20">
        <v>0</v>
      </c>
      <c r="G20">
        <v>0</v>
      </c>
      <c r="J20">
        <v>1</v>
      </c>
      <c r="K20">
        <v>1</v>
      </c>
      <c r="L20">
        <v>0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</row>
    <row r="21" spans="2:20" x14ac:dyDescent="0.25">
      <c r="B21" t="s">
        <v>99</v>
      </c>
      <c r="C21">
        <v>22020845031</v>
      </c>
      <c r="D21" t="s">
        <v>61</v>
      </c>
      <c r="E21">
        <v>12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</row>
    <row r="22" spans="2:20" x14ac:dyDescent="0.25">
      <c r="B22" t="s">
        <v>100</v>
      </c>
      <c r="C22">
        <v>22020845036</v>
      </c>
      <c r="D22" t="s">
        <v>61</v>
      </c>
      <c r="E22">
        <v>8</v>
      </c>
      <c r="F22">
        <v>1</v>
      </c>
      <c r="G22">
        <v>0</v>
      </c>
      <c r="I22">
        <v>1</v>
      </c>
      <c r="J22">
        <v>1</v>
      </c>
      <c r="L22">
        <v>0</v>
      </c>
      <c r="N22">
        <v>1</v>
      </c>
      <c r="O22">
        <v>1</v>
      </c>
      <c r="R22">
        <v>1</v>
      </c>
      <c r="S22">
        <v>1</v>
      </c>
      <c r="T22">
        <v>1</v>
      </c>
    </row>
    <row r="23" spans="2:20" x14ac:dyDescent="0.25">
      <c r="B23" t="s">
        <v>101</v>
      </c>
      <c r="C23">
        <v>22020845020</v>
      </c>
      <c r="D23" t="s">
        <v>61</v>
      </c>
      <c r="E23">
        <v>5</v>
      </c>
      <c r="F23">
        <v>0</v>
      </c>
      <c r="G23">
        <v>0</v>
      </c>
      <c r="I23">
        <v>1</v>
      </c>
      <c r="J23">
        <v>1</v>
      </c>
      <c r="L23">
        <v>0</v>
      </c>
      <c r="M23">
        <v>1</v>
      </c>
      <c r="O23">
        <v>1</v>
      </c>
      <c r="Q23">
        <v>1</v>
      </c>
    </row>
    <row r="24" spans="2:20" x14ac:dyDescent="0.25">
      <c r="B24" t="s">
        <v>102</v>
      </c>
      <c r="C24">
        <v>22020845004</v>
      </c>
      <c r="D24" t="s">
        <v>61</v>
      </c>
      <c r="E24">
        <v>8</v>
      </c>
      <c r="F24">
        <v>1</v>
      </c>
      <c r="G24">
        <v>1</v>
      </c>
      <c r="H24">
        <v>1</v>
      </c>
      <c r="I24">
        <v>1</v>
      </c>
      <c r="J24">
        <v>1</v>
      </c>
      <c r="L24">
        <v>0</v>
      </c>
      <c r="O24">
        <v>1</v>
      </c>
      <c r="S24">
        <v>1</v>
      </c>
      <c r="T24">
        <v>1</v>
      </c>
    </row>
    <row r="25" spans="2:20" x14ac:dyDescent="0.25">
      <c r="B25" t="s">
        <v>103</v>
      </c>
      <c r="C25">
        <v>22020845003</v>
      </c>
      <c r="D25" t="s">
        <v>61</v>
      </c>
      <c r="E25">
        <v>12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0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</row>
    <row r="26" spans="2:20" x14ac:dyDescent="0.25">
      <c r="B26" t="s">
        <v>104</v>
      </c>
      <c r="C26">
        <v>22020845015</v>
      </c>
      <c r="D26" t="s">
        <v>61</v>
      </c>
      <c r="E26">
        <v>7</v>
      </c>
      <c r="F26">
        <v>1</v>
      </c>
      <c r="G26">
        <v>0</v>
      </c>
      <c r="H26">
        <v>1</v>
      </c>
      <c r="I26">
        <v>1</v>
      </c>
      <c r="K26">
        <v>1</v>
      </c>
      <c r="L26">
        <v>0</v>
      </c>
      <c r="N26" s="27"/>
      <c r="R26">
        <v>1</v>
      </c>
      <c r="S26">
        <v>1</v>
      </c>
      <c r="T26">
        <v>1</v>
      </c>
    </row>
    <row r="27" spans="2:20" x14ac:dyDescent="0.25">
      <c r="B27" t="s">
        <v>105</v>
      </c>
      <c r="C27">
        <v>22020845027</v>
      </c>
      <c r="D27" t="s">
        <v>61</v>
      </c>
      <c r="E27">
        <v>6</v>
      </c>
      <c r="F27">
        <v>1</v>
      </c>
      <c r="G27">
        <v>0</v>
      </c>
      <c r="I27">
        <v>1</v>
      </c>
      <c r="J27">
        <v>1</v>
      </c>
      <c r="K27">
        <v>1</v>
      </c>
      <c r="L27">
        <v>0</v>
      </c>
      <c r="O27">
        <v>1</v>
      </c>
      <c r="S27">
        <v>1</v>
      </c>
    </row>
    <row r="28" spans="2:20" x14ac:dyDescent="0.25">
      <c r="B28" t="s">
        <v>106</v>
      </c>
      <c r="C28">
        <v>22020845034</v>
      </c>
      <c r="D28" t="s">
        <v>61</v>
      </c>
      <c r="E28">
        <v>8</v>
      </c>
      <c r="F28">
        <v>0</v>
      </c>
      <c r="G28">
        <v>0</v>
      </c>
      <c r="I28">
        <v>1</v>
      </c>
      <c r="J28">
        <v>1</v>
      </c>
      <c r="K28">
        <v>1</v>
      </c>
      <c r="L28">
        <v>0</v>
      </c>
      <c r="P28">
        <v>1</v>
      </c>
      <c r="Q28">
        <v>1</v>
      </c>
      <c r="R28">
        <v>1</v>
      </c>
      <c r="S28">
        <v>1</v>
      </c>
      <c r="T28">
        <v>1</v>
      </c>
    </row>
    <row r="29" spans="2:20" x14ac:dyDescent="0.25">
      <c r="B29" t="s">
        <v>107</v>
      </c>
      <c r="C29">
        <v>22020845019</v>
      </c>
      <c r="D29" t="s">
        <v>61</v>
      </c>
      <c r="E29">
        <v>6</v>
      </c>
      <c r="F29">
        <v>0</v>
      </c>
      <c r="G29">
        <v>0</v>
      </c>
      <c r="I29">
        <v>1</v>
      </c>
      <c r="J29">
        <v>1</v>
      </c>
      <c r="K29">
        <v>1</v>
      </c>
      <c r="L29">
        <v>0</v>
      </c>
      <c r="O29">
        <v>1</v>
      </c>
      <c r="R29">
        <v>1</v>
      </c>
      <c r="S29">
        <v>1</v>
      </c>
    </row>
    <row r="30" spans="2:20" x14ac:dyDescent="0.25">
      <c r="B30" t="s">
        <v>108</v>
      </c>
      <c r="C30">
        <v>22020845026</v>
      </c>
      <c r="D30" t="s">
        <v>61</v>
      </c>
      <c r="E30">
        <v>9</v>
      </c>
      <c r="F30">
        <v>1</v>
      </c>
      <c r="G30">
        <v>0</v>
      </c>
      <c r="I30">
        <v>1</v>
      </c>
      <c r="J30">
        <v>1</v>
      </c>
      <c r="K30">
        <v>1</v>
      </c>
      <c r="O30">
        <v>1</v>
      </c>
      <c r="Q30">
        <v>1</v>
      </c>
      <c r="R30">
        <v>1</v>
      </c>
      <c r="S30">
        <v>1</v>
      </c>
      <c r="T30">
        <v>1</v>
      </c>
    </row>
    <row r="31" spans="2:20" x14ac:dyDescent="0.25">
      <c r="B31" t="s">
        <v>109</v>
      </c>
      <c r="C31">
        <v>22020845028</v>
      </c>
      <c r="D31" t="s">
        <v>61</v>
      </c>
      <c r="E31">
        <v>8</v>
      </c>
      <c r="F31">
        <v>0</v>
      </c>
      <c r="G31">
        <v>0</v>
      </c>
      <c r="I31">
        <v>1</v>
      </c>
      <c r="J31">
        <v>1</v>
      </c>
      <c r="K31">
        <v>1</v>
      </c>
      <c r="L31">
        <v>0</v>
      </c>
      <c r="O31">
        <v>1</v>
      </c>
      <c r="Q31">
        <v>1</v>
      </c>
      <c r="R31">
        <v>1</v>
      </c>
      <c r="S31">
        <v>1</v>
      </c>
      <c r="T31">
        <v>1</v>
      </c>
    </row>
    <row r="32" spans="2:20" x14ac:dyDescent="0.25">
      <c r="B32" t="s">
        <v>110</v>
      </c>
      <c r="C32">
        <v>22020845006</v>
      </c>
      <c r="D32" t="s">
        <v>61</v>
      </c>
      <c r="E32">
        <v>9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0</v>
      </c>
      <c r="Q32">
        <v>1</v>
      </c>
      <c r="R32">
        <v>1</v>
      </c>
      <c r="S32">
        <v>1</v>
      </c>
      <c r="T32">
        <v>1</v>
      </c>
    </row>
    <row r="33" spans="2:20" x14ac:dyDescent="0.25">
      <c r="B33" t="s">
        <v>111</v>
      </c>
      <c r="C33">
        <v>22020845022</v>
      </c>
      <c r="D33" t="s">
        <v>61</v>
      </c>
      <c r="E33">
        <v>8</v>
      </c>
      <c r="F33">
        <v>1</v>
      </c>
      <c r="G33">
        <v>0</v>
      </c>
      <c r="I33">
        <v>1</v>
      </c>
      <c r="J33">
        <v>1</v>
      </c>
      <c r="K33">
        <v>1</v>
      </c>
      <c r="L33">
        <v>0</v>
      </c>
      <c r="Q33">
        <v>1</v>
      </c>
      <c r="R33">
        <v>1</v>
      </c>
      <c r="S33">
        <v>1</v>
      </c>
      <c r="T33">
        <v>1</v>
      </c>
    </row>
    <row r="34" spans="2:20" x14ac:dyDescent="0.25">
      <c r="B34" t="s">
        <v>112</v>
      </c>
      <c r="C34" t="s">
        <v>62</v>
      </c>
      <c r="D34" t="s">
        <v>61</v>
      </c>
      <c r="E34">
        <v>7</v>
      </c>
      <c r="F34">
        <v>1</v>
      </c>
      <c r="G34">
        <v>0</v>
      </c>
      <c r="I34">
        <v>1</v>
      </c>
      <c r="J34">
        <v>1</v>
      </c>
      <c r="K34">
        <v>1</v>
      </c>
      <c r="L34">
        <v>0</v>
      </c>
      <c r="R34">
        <v>1</v>
      </c>
      <c r="S34">
        <v>1</v>
      </c>
      <c r="T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PDS-Marks</vt:lpstr>
      <vt:lpstr>Quiz Marks</vt:lpstr>
      <vt:lpstr>PDS-Marks with comments</vt:lpstr>
      <vt:lpstr>Project</vt:lpstr>
      <vt:lpstr>Quiz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2022-07-12T10:13:51Z</dcterms:created>
  <dcterms:modified xsi:type="dcterms:W3CDTF">2022-09-22T12:10:33Z</dcterms:modified>
</cp:coreProperties>
</file>